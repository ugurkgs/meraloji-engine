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lavuz" sheetId="1" state="visible" r:id="rId1"/>
    <sheet name="Gozlemler" sheetId="2" state="visible" r:id="rId2"/>
    <sheet name="Turler" sheetId="3" state="visible" r:id="rId3"/>
  </sheets>
  <definedNames>
    <definedName name="_xlnm._FilterDatabase" localSheetId="1" hidden="1">'Gozlemler'!$A$1:$U$205</definedName>
    <definedName name="_xlnm._FilterDatabase" localSheetId="2" hidden="1">'Turler'!$A$1:$N$77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33C00"/>
      <sz val="10"/>
    </font>
    <font>
      <name val="Arial"/>
      <sz val="10"/>
    </font>
    <font>
      <name val="Arial"/>
      <i val="1"/>
      <color rgb="00375623"/>
      <sz val="9"/>
    </font>
    <font>
      <name val="Arial"/>
      <b val="1"/>
      <color rgb="001F3864"/>
      <sz val="17"/>
    </font>
    <font>
      <name val="Arial"/>
      <i val="1"/>
      <color rgb="00595959"/>
      <sz val="11"/>
    </font>
    <font>
      <name val="Arial"/>
      <b val="1"/>
      <color rgb="00FFFFFF"/>
      <sz val="13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top" wrapText="1"/>
    </xf>
    <xf numFmtId="0" fontId="0" fillId="2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Meraloji</author>
  </authors>
  <commentList>
    <comment ref="A1" authorId="0" shapeId="0">
      <text>
        <t>Aynı avın her satırında AYNI numara. Yeni av = yeni numara.
Bir videoda gündüz ve gece ayrı avlanılmışsa bunlar İKİ ayrı gezidir.</t>
      </text>
    </comment>
    <comment ref="B1" authorId="0" shapeId="0">
      <text>
        <t>Videonun bağlantısı. Sonradan kontrol edebilmek için şart.</t>
      </text>
    </comment>
    <comment ref="C1" authorId="0" shapeId="0">
      <text>
        <t>AVIN YAPILDIĞI tarih — videonun yüklendiği tarih DEĞİL.
Biçim: 2026-07-07
Video 'geçen hafta' diyorsa tahmini yazın ve tarih_kesinlik'i işaretleyin.</t>
      </text>
    </comment>
    <comment ref="D1" authorId="0" shapeId="0">
      <text>
        <t>gun    = tarih net söylendi
hafta  = 'geçen hafta' gibi, ±3 gün
ay     = sadece ay belli, ±15 gün
mevsim = sadece mevsim belli — bu kayıt zayıftır</t>
      </text>
    </comment>
    <comment ref="E1" authorId="0" shapeId="0">
      <text>
        <t>Serbest metin: Didim, Urla İskele, Karaburun Mordoğan...</t>
      </text>
    </comment>
    <comment ref="F1" authorId="0" shapeId="0">
      <text>
        <t>Biliyorsanız. Örn: 37.3400
Video konumu gösteriyorsa Google Maps'ten alın — çok değerli.</t>
      </text>
    </comment>
    <comment ref="G1" authorId="0" shapeId="0">
      <text>
        <t>Biliyorsanız. Örn: 27.2500</t>
      </text>
    </comment>
    <comment ref="H1" authorId="0" shapeId="0">
      <text>
        <t>nokta     = tam yer belli (±100 m)
mevki     = koy/iskele belli (±2 km)
ilce      = sadece ilçe belli (±10 km)
bilinmiyor = şehir bile şüpheli — bu kayıt zayıftır</t>
      </text>
    </comment>
    <comment ref="I1" authorId="0" shapeId="0">
      <text>
        <t>gunduz / gece / safak / aksamustu / bilinmiyor
Balığın vurduğu ANIN zamanı.</t>
      </text>
    </comment>
    <comment ref="J1" authorId="0" shapeId="0">
      <text>
        <t>Söyleniyorsa. Biçim: 21:30</t>
      </text>
    </comment>
    <comment ref="K1" authorId="0" shapeId="0">
      <text>
        <t>tutuldu     = balık çıktı, tur_video'yu doldurun
hic_cikmadi = 'geldik bir şey alamadan döndük'
DİKKAT: hic_cikmadi kayıtları EN DEĞERLİ olanlardır.
Tek satır açın, tür kolonlarını boş bırakın.</t>
      </text>
    </comment>
    <comment ref="L1" authorId="0" shapeId="0">
      <text>
        <t>Videoda SÖYLENEN isim, aynen. 'lidaki', 'ıskatarya', 'çupra'...
Yerel adı değiştirmeyin — eşleştirmeyi ben yaparım.
sonuc=hic_cikmadi ise boş bırakın.</t>
      </text>
    </comment>
    <comment ref="M1" authorId="0" shapeId="0">
      <text>
        <t>Veritabanındaki karşılığı. Listeden seçin.
Emin değilseniz BOŞ bırakın — yanlış eşleştirmek boş bırakmaktan kötüdür.
Listede yoksa boş bırakın, 'not' kolonuna yazın.</t>
      </text>
    </comment>
    <comment ref="N1" authorId="0" shapeId="0">
      <text>
        <t>Kaç tane. Söylenmiyorsa boş.</t>
      </text>
    </comment>
    <comment ref="O1" authorId="0" shapeId="0">
      <text>
        <t>Yaklaşık boy. Söylenmiyorsa boş.</t>
      </text>
    </comment>
    <comment ref="P1" authorId="0" shapeId="0">
      <text>
        <t>kiyi_dip      = sahilden dip takımı
kiyi_spin     = sahilden spin/jig
kiyi_capari   = sahilden çapari
tekne_dip     = tekneden dip
tekne_trolling= tekneden trolling
eging_zoka    = kalamar/sübye/ahtapot takımı
zipkin        = zıpkın
bilinmiyor
ÇOK ÖNEMLİ: negatif çıkarımı bu kolona dayanıyor.</t>
      </text>
    </comment>
    <comment ref="Q1" authorId="0" shapeId="0">
      <text>
        <t>Söyleniyorsa: kurt, karides, yengeç, silikon, jig...</t>
      </text>
    </comment>
    <comment ref="R1" authorId="0" shapeId="0">
      <text>
        <t>evet = video avın TAMAMINI gösterdi/saydı
hayir = sadece güzel anlar, montaj
bilinmiyor
EN KRİTİK KOLON. Sadece 'evet' olan gezilerden
'tutulmayan tür' çıkarımı yapılabilir.</t>
      </text>
    </comment>
    <comment ref="S1" authorId="0" shapeId="0">
      <text>
        <t>1 = zayıf (çok tahmin var)
2 = orta
3 = sağlam (her şey net)</t>
      </text>
    </comment>
    <comment ref="T1" authorId="0" shapeId="0">
      <text>
        <t>Aklınıza takılan her şey. Tür adı eşleşmediyse buraya yazın.</t>
      </text>
    </comment>
    <comment ref="U1" authorId="0" shapeId="0">
      <text>
        <t>Otomatik. Eksik zorunlu alan varsa uyarır — siz doldurmayın.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8" customWidth="1" min="3" max="3"/>
    <col width="16" customWidth="1" min="4" max="4"/>
  </cols>
  <sheetData>
    <row r="1">
      <c r="B1" s="1" t="inlineStr">
        <is>
          <t>MERALOJİ — SAHA GÖZLEMİ VERİ DEFTERİ</t>
        </is>
      </c>
    </row>
    <row r="2">
      <c r="B2" s="2" t="inlineStr">
        <is>
          <t>Videolardan çıkarılan av kayıtları. Amaç: motorun skorlarını gerçek avla karşılaştırmak.</t>
        </is>
      </c>
    </row>
    <row r="3"/>
    <row r="4">
      <c r="B4" s="3" t="inlineStr">
        <is>
          <t>NASIL DOLDURULUR</t>
        </is>
      </c>
      <c r="C4" s="3" t="inlineStr"/>
      <c r="D4" s="4" t="n"/>
    </row>
    <row r="5"/>
    <row r="6">
      <c r="B6" s="5" t="inlineStr">
        <is>
          <t>Nereden başlarım</t>
        </is>
      </c>
      <c r="C6" s="5" t="inlineStr">
        <is>
          <t>'Gozlemler' sayfasına gidin. 2-5. satırlar TURUNCU örnektir — silin veya bırakın, işlenmez. Siz 6. satırdan yazmaya başlayın.</t>
        </is>
      </c>
    </row>
    <row r="7"/>
    <row r="8">
      <c r="B8" s="6" t="inlineStr">
        <is>
          <t>Sarı hücreler</t>
        </is>
      </c>
      <c r="C8" s="6" t="inlineStr">
        <is>
          <t>Zorunlu. Boş kalırsa kayıt kullanılamaz.</t>
        </is>
      </c>
    </row>
    <row r="9">
      <c r="B9" s="6" t="inlineStr">
        <is>
          <t>Beyaz hücreler</t>
        </is>
      </c>
      <c r="C9" s="6" t="inlineStr">
        <is>
          <t>Opsiyonel. Video söylüyorsa yazın, söylemiyorsa BOŞ bırakın.</t>
        </is>
      </c>
    </row>
    <row r="10">
      <c r="B10" s="6" t="inlineStr">
        <is>
          <t>Yeşil hücre (kontrol)</t>
        </is>
      </c>
      <c r="C10" s="6" t="inlineStr">
        <is>
          <t>Otomatik doldurulur, siz dokunmayın. Satırda eksik varsa uyarır.</t>
        </is>
      </c>
    </row>
    <row r="11"/>
    <row r="12">
      <c r="B12" s="5" t="inlineStr">
        <is>
          <t>Tahmin etmeyin</t>
        </is>
      </c>
      <c r="C12" s="5" t="inlineStr">
        <is>
          <t>Emin olmadığınız hiçbir alanı doldurmayın. Boş hücre zararsızdır; yanlış hücre modeli bozar. Özellikle 'tur_anahtari' için: eşleştiremiyorsanız boş bırakın, 'not' kolonuna videodaki adı yazın — eşleştirmeyi ben yaparım.</t>
        </is>
      </c>
    </row>
    <row r="13"/>
    <row r="14"/>
    <row r="15">
      <c r="B15" s="3" t="inlineStr">
        <is>
          <t>GİRMENİZE GEREK OLMAYANLAR</t>
        </is>
      </c>
      <c r="C15" s="3" t="inlineStr"/>
      <c r="D15" s="4" t="n"/>
    </row>
    <row r="16"/>
    <row r="17">
      <c r="B17" s="6" t="inlineStr">
        <is>
          <t>Hava/deniz koşulları</t>
        </is>
      </c>
      <c r="C17" s="6" t="inlineStr">
        <is>
          <t>Su sıcaklığı, dalga, rüzgâr, basınç, akıntı, ay evresi, gelgit — HİÇBİRİNİ girmeyin. Tarih ve konumdan otomatik çekilecek.</t>
        </is>
      </c>
    </row>
    <row r="18">
      <c r="B18" s="6" t="inlineStr">
        <is>
          <t>Derinlik ve zemin</t>
        </is>
      </c>
      <c r="C18" s="6" t="inlineStr">
        <is>
          <t>Girmeyin. Koordinattan otomatik gelecek.</t>
        </is>
      </c>
    </row>
    <row r="19">
      <c r="B19" s="6" t="inlineStr">
        <is>
          <t>Skorlar</t>
        </is>
      </c>
      <c r="C19" s="6" t="inlineStr">
        <is>
          <t>Girmeyin. Motor kendisi hesaplayacak.</t>
        </is>
      </c>
    </row>
    <row r="20"/>
    <row r="21"/>
    <row r="22">
      <c r="B22" s="3" t="inlineStr">
        <is>
          <t>EN ÖNEMLİ ÜÇ KOLON</t>
        </is>
      </c>
      <c r="C22" s="3" t="inlineStr"/>
      <c r="D22" s="4" t="n"/>
    </row>
    <row r="23"/>
    <row r="24">
      <c r="B24" s="5" t="inlineStr">
        <is>
          <t>sonuc = hic_cikmadi</t>
        </is>
      </c>
      <c r="C24" s="5" t="inlineStr">
        <is>
          <t>'Geldik bir şey alamadan döndük' diyen videolar EN DEĞERLİ kayıtlardır. Bir tür yakalandığını öğrenmek, hiçbir şey yakalanmadığını öğrenmekten daha az bilgi taşır. Böyle bir video görürseniz mutlaka kaydedin: tek satır açın, tür kolonlarını boş bırakın.</t>
        </is>
      </c>
    </row>
    <row r="25"/>
    <row r="26"/>
    <row r="27">
      <c r="B27" s="5" t="inlineStr">
        <is>
          <t>tam_liste</t>
        </is>
      </c>
      <c r="C27" s="5" t="inlineStr">
        <is>
          <t>Video avın TAMAMINI mı gösterdi, yoksa sadece güzel anları mı? Sadece 'evet' olan gezilerde 'şu tür vardı ama tutulmadı' çıkarımı yapılabilir. Montaj videolarında tutulmayan tür bilgisi yanıltıcıdır — küçük balığı göstermemiş olabilirler.</t>
        </is>
      </c>
    </row>
    <row r="28"/>
    <row r="29"/>
    <row r="30">
      <c r="B30" s="5" t="inlineStr">
        <is>
          <t>yontem</t>
        </is>
      </c>
      <c r="C30" s="5" t="inlineStr">
        <is>
          <t>Hangi takımla avlandıklarını mutlaka işaretleyin. Dip takımıyla oturan birinin ahtapot tutmaması bilgi değildir — zaten denemiyordu. Ama mırmır tutmaması gerçek bilgidir. Bu ayrımı 'yontem' kolonu sağlar.</t>
        </is>
      </c>
    </row>
    <row r="31"/>
    <row r="32"/>
    <row r="33">
      <c r="B33" s="3" t="inlineStr">
        <is>
          <t>GEZİ_ID MANTIĞI</t>
        </is>
      </c>
      <c r="C33" s="3" t="inlineStr"/>
      <c r="D33" s="4" t="n"/>
    </row>
    <row r="34"/>
    <row r="35">
      <c r="B35" s="6" t="inlineStr">
        <is>
          <t>Aynı gezi</t>
        </is>
      </c>
      <c r="C35" s="6" t="inlineStr">
        <is>
          <t>Aynı yerde, aynı gün, aynı seansta yakalanan HER TÜR aynı gezi_id'yi alır. Örnek satırlarda 3 tür de gezi 1'de.</t>
        </is>
      </c>
    </row>
    <row r="36">
      <c r="B36" s="6" t="inlineStr">
        <is>
          <t>Ayrı gezi</t>
        </is>
      </c>
      <c r="C36" s="6" t="inlineStr">
        <is>
          <t>Gündüz ve gece ayrı avlanılmışsa AYRI gezidir. Aynı videoda iki farklı gün varsa AYRI gezidir. Yer değiştiyse AYRI gezidir.</t>
        </is>
      </c>
    </row>
    <row r="37">
      <c r="B37" s="6" t="inlineStr">
        <is>
          <t>Neden önemli</t>
        </is>
      </c>
      <c r="C37" s="6" t="inlineStr">
        <is>
          <t>Model, aynı gezideki türleri birbiriyle karşılaştıracak. Ustalık, yem ve hava aynı gezide sabit olduğu için karşılaştırma bunları eler. Gezi ayrımı yanlışsa bu iptal etme çalışmaz.</t>
        </is>
      </c>
    </row>
    <row r="38"/>
    <row r="39"/>
    <row r="40">
      <c r="B40" s="3" t="inlineStr">
        <is>
          <t>İLERLEME</t>
        </is>
      </c>
      <c r="C40" s="3" t="inlineStr"/>
      <c r="D40" s="4" t="n"/>
    </row>
    <row r="41"/>
    <row r="42">
      <c r="B42" s="6" t="inlineStr">
        <is>
          <t>Toplam satır</t>
        </is>
      </c>
      <c r="C42" s="6" t="inlineStr">
        <is>
          <t>Girilen kayıt satırı sayısı</t>
        </is>
      </c>
      <c r="D42">
        <f>COUNTA(Gozlemler!A6:A205)</f>
        <v/>
      </c>
    </row>
    <row r="43">
      <c r="B43" s="6" t="inlineStr">
        <is>
          <t>Farklı gezi</t>
        </is>
      </c>
      <c r="C43" s="6" t="inlineStr">
        <is>
          <t>En büyük gezi_id — sırayla numaralandırdığınız sürece gezi sayısı</t>
        </is>
      </c>
      <c r="D43">
        <f>IF(COUNTA(Gozlemler!A6:A205)=0,0,MAX(Gozlemler!A6:A205))</f>
        <v/>
      </c>
    </row>
    <row r="44">
      <c r="B44" s="6" t="inlineStr">
        <is>
          <t>Pozitif kayıt</t>
        </is>
      </c>
      <c r="C44" s="6" t="inlineStr">
        <is>
          <t>sonuc = tutuldu</t>
        </is>
      </c>
      <c r="D44">
        <f>COUNTIF(Gozlemler!K6:K205,"tutuldu")</f>
        <v/>
      </c>
    </row>
    <row r="45">
      <c r="B45" s="6" t="inlineStr">
        <is>
          <t>Negatif kayıt</t>
        </is>
      </c>
      <c r="C45" s="6" t="inlineStr">
        <is>
          <t>sonuc = hic_cikmadi  (altın standart)</t>
        </is>
      </c>
      <c r="D45">
        <f>COUNTIF(Gozlemler!K6:K205,"hic_cikmadi")</f>
        <v/>
      </c>
    </row>
    <row r="46">
      <c r="B46" s="6" t="inlineStr">
        <is>
          <t>Tam listeli gezi</t>
        </is>
      </c>
      <c r="C46" s="6" t="inlineStr">
        <is>
          <t>tam_liste = evet  (negatif çıkarımına uygun)</t>
        </is>
      </c>
      <c r="D46">
        <f>COUNTIF(Gozlemler!R6:R205,"evet")</f>
        <v/>
      </c>
    </row>
    <row r="47">
      <c r="B47" s="6" t="inlineStr">
        <is>
          <t>Eşleşmemiş tür</t>
        </is>
      </c>
      <c r="C47" s="6" t="inlineStr">
        <is>
          <t>tur_video dolu ama tur_anahtari boş — benim çözmem gerekenler</t>
        </is>
      </c>
      <c r="D47">
        <f>SUMPRODUCT((Gozlemler!L6:L205&lt;&gt;"")*(Gozlemler!M6:M205=""))</f>
        <v/>
      </c>
    </row>
    <row r="48">
      <c r="B48" s="6" t="inlineStr">
        <is>
          <t>Eksik satır</t>
        </is>
      </c>
      <c r="C48" s="6" t="inlineStr">
        <is>
          <t>kontrol kolonu uyarı veren satırlar</t>
        </is>
      </c>
      <c r="D48">
        <f>COUNTIF(Gozlemler!U6:U205,"eksik*")</f>
        <v/>
      </c>
    </row>
    <row r="49"/>
    <row r="50">
      <c r="B50" s="5" t="inlineStr">
        <is>
          <t>Hedef</t>
        </is>
      </c>
      <c r="C50" s="5" t="inlineStr">
        <is>
          <t>50 gezi → parametre kalibrasyonu başlar.  100+ gezi → model kurulabilir.</t>
        </is>
      </c>
    </row>
    <row r="51"/>
    <row r="52"/>
    <row r="53">
      <c r="B53" s="3" t="inlineStr">
        <is>
          <t>TÜRLER SAYFASI</t>
        </is>
      </c>
      <c r="C53" s="3" t="inlineStr"/>
      <c r="D53" s="4" t="n"/>
    </row>
    <row r="54"/>
    <row r="55">
      <c r="B55" s="6" t="inlineStr">
        <is>
          <t>Ne işe yarar</t>
        </is>
      </c>
      <c r="C55" s="6" t="inlineStr">
        <is>
          <t>Veritabanındaki 76 Türkiye türü. 'tur_anahtari' kolonundaki açılır liste buradan besleniyor.</t>
        </is>
      </c>
    </row>
    <row r="56">
      <c r="B56" s="6" t="inlineStr">
        <is>
          <t>Nasıl kullanılır</t>
        </is>
      </c>
      <c r="C56" s="6" t="inlineStr">
        <is>
          <t>Videodaki adı bulamıyorsanız 'ad' veya 'latince' kolonunda arayın. Takım ve yem kolonları, hangi türün hangi yöntemle tutulabileceğini gösterir.</t>
        </is>
      </c>
    </row>
    <row r="57">
      <c r="B57" s="6" t="inlineStr">
        <is>
          <t>Listede yoksa</t>
        </is>
      </c>
      <c r="C57" s="6" t="inlineStr">
        <is>
          <t>Tür veritabanında olmayabilir (trakonya böyle bulunmuştu). tur_anahtari'ni boş bırakın, 'not' kolonuna yazın.</t>
        </is>
      </c>
    </row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3" customWidth="1" min="4" max="4"/>
    <col width="20" customWidth="1" min="5" max="5"/>
    <col width="11" customWidth="1" min="6" max="6"/>
    <col width="11" customWidth="1" min="7" max="7"/>
    <col width="14" customWidth="1" min="8" max="8"/>
    <col width="12" customWidth="1" min="9" max="9"/>
    <col width="8" customWidth="1" min="10" max="10"/>
    <col width="12" customWidth="1" min="11" max="11"/>
    <col width="18" customWidth="1" min="12" max="12"/>
    <col width="18" customWidth="1" min="13" max="13"/>
    <col width="7" customWidth="1" min="14" max="14"/>
    <col width="8" customWidth="1" min="15" max="15"/>
    <col width="16" customWidth="1" min="16" max="16"/>
    <col width="16" customWidth="1" min="17" max="17"/>
    <col width="11" customWidth="1" min="18" max="18"/>
    <col width="7" customWidth="1" min="19" max="19"/>
    <col width="30" customWidth="1" min="20" max="20"/>
    <col width="26" customWidth="1" min="21" max="21"/>
  </cols>
  <sheetData>
    <row r="1" ht="30" customHeight="1">
      <c r="A1" s="7" t="inlineStr">
        <is>
          <t>gezi_id</t>
        </is>
      </c>
      <c r="B1" s="7" t="inlineStr">
        <is>
          <t>video_url</t>
        </is>
      </c>
      <c r="C1" s="7" t="inlineStr">
        <is>
          <t>tarih</t>
        </is>
      </c>
      <c r="D1" s="7" t="inlineStr">
        <is>
          <t>tarih_kesinlik</t>
        </is>
      </c>
      <c r="E1" s="7" t="inlineStr">
        <is>
          <t>yer_adi</t>
        </is>
      </c>
      <c r="F1" s="7" t="inlineStr">
        <is>
          <t>enlem</t>
        </is>
      </c>
      <c r="G1" s="7" t="inlineStr">
        <is>
          <t>boylam</t>
        </is>
      </c>
      <c r="H1" s="7" t="inlineStr">
        <is>
          <t>konum_kesinlik</t>
        </is>
      </c>
      <c r="I1" s="7" t="inlineStr">
        <is>
          <t>zaman</t>
        </is>
      </c>
      <c r="J1" s="7" t="inlineStr">
        <is>
          <t>saat</t>
        </is>
      </c>
      <c r="K1" s="7" t="inlineStr">
        <is>
          <t>sonuc</t>
        </is>
      </c>
      <c r="L1" s="7" t="inlineStr">
        <is>
          <t>tur_video</t>
        </is>
      </c>
      <c r="M1" s="7" t="inlineStr">
        <is>
          <t>tur_anahtari</t>
        </is>
      </c>
      <c r="N1" s="7" t="inlineStr">
        <is>
          <t>adet</t>
        </is>
      </c>
      <c r="O1" s="7" t="inlineStr">
        <is>
          <t>boy_cm</t>
        </is>
      </c>
      <c r="P1" s="7" t="inlineStr">
        <is>
          <t>yontem</t>
        </is>
      </c>
      <c r="Q1" s="7" t="inlineStr">
        <is>
          <t>yem</t>
        </is>
      </c>
      <c r="R1" s="7" t="inlineStr">
        <is>
          <t>tam_liste</t>
        </is>
      </c>
      <c r="S1" s="7" t="inlineStr">
        <is>
          <t>guven</t>
        </is>
      </c>
      <c r="T1" s="7" t="inlineStr">
        <is>
          <t>not</t>
        </is>
      </c>
      <c r="U1" s="7" t="inlineStr">
        <is>
          <t>kontrol</t>
        </is>
      </c>
    </row>
    <row r="2">
      <c r="A2" s="8" t="n">
        <v>1</v>
      </c>
      <c r="B2" s="8" t="inlineStr">
        <is>
          <t>https://youtube.com/watch?v=ORNEK1</t>
        </is>
      </c>
      <c r="C2" s="8" t="inlineStr">
        <is>
          <t>2026-07-07</t>
        </is>
      </c>
      <c r="D2" s="8" t="inlineStr">
        <is>
          <t>gun</t>
        </is>
      </c>
      <c r="E2" s="8" t="inlineStr">
        <is>
          <t>Didim</t>
        </is>
      </c>
      <c r="F2" s="8" t="n">
        <v>37.34</v>
      </c>
      <c r="G2" s="8" t="n">
        <v>27.25</v>
      </c>
      <c r="H2" s="8" t="inlineStr">
        <is>
          <t>mevki</t>
        </is>
      </c>
      <c r="I2" s="8" t="inlineStr">
        <is>
          <t>gece</t>
        </is>
      </c>
      <c r="J2" s="8" t="inlineStr">
        <is>
          <t>22:00</t>
        </is>
      </c>
      <c r="K2" s="8" t="inlineStr">
        <is>
          <t>tutuldu</t>
        </is>
      </c>
      <c r="L2" s="8" t="inlineStr">
        <is>
          <t>çupra</t>
        </is>
      </c>
      <c r="M2" s="8" t="inlineStr">
        <is>
          <t>cipura</t>
        </is>
      </c>
      <c r="N2" s="8" t="n">
        <v>2</v>
      </c>
      <c r="O2" s="8" t="n">
        <v>28</v>
      </c>
      <c r="P2" s="8" t="inlineStr">
        <is>
          <t>kiyi_dip</t>
        </is>
      </c>
      <c r="Q2" s="8" t="inlineStr">
        <is>
          <t>kurt</t>
        </is>
      </c>
      <c r="R2" s="8" t="inlineStr">
        <is>
          <t>evet</t>
        </is>
      </c>
      <c r="S2" s="8" t="n">
        <v>3</v>
      </c>
      <c r="T2" s="8" t="inlineStr">
        <is>
          <t>Aynı avda 3 tür çıktı → üçü de gezi_id 1</t>
        </is>
      </c>
    </row>
    <row r="3">
      <c r="A3" s="8" t="n">
        <v>1</v>
      </c>
      <c r="B3" s="8" t="inlineStr">
        <is>
          <t>https://youtube.com/watch?v=ORNEK1</t>
        </is>
      </c>
      <c r="C3" s="8" t="inlineStr">
        <is>
          <t>2026-07-07</t>
        </is>
      </c>
      <c r="D3" s="8" t="inlineStr">
        <is>
          <t>gun</t>
        </is>
      </c>
      <c r="E3" s="8" t="inlineStr">
        <is>
          <t>Didim</t>
        </is>
      </c>
      <c r="F3" s="8" t="n">
        <v>37.34</v>
      </c>
      <c r="G3" s="8" t="n">
        <v>27.25</v>
      </c>
      <c r="H3" s="8" t="inlineStr">
        <is>
          <t>mevki</t>
        </is>
      </c>
      <c r="I3" s="8" t="inlineStr">
        <is>
          <t>gece</t>
        </is>
      </c>
      <c r="J3" s="8" t="inlineStr">
        <is>
          <t>22:00</t>
        </is>
      </c>
      <c r="K3" s="8" t="inlineStr">
        <is>
          <t>tutuldu</t>
        </is>
      </c>
      <c r="L3" s="8" t="inlineStr">
        <is>
          <t>ısparoz</t>
        </is>
      </c>
      <c r="M3" s="8" t="inlineStr">
        <is>
          <t>isparoz</t>
        </is>
      </c>
      <c r="N3" s="8" t="n">
        <v>5</v>
      </c>
      <c r="O3" s="8" t="n">
        <v>15</v>
      </c>
      <c r="P3" s="8" t="inlineStr">
        <is>
          <t>kiyi_dip</t>
        </is>
      </c>
      <c r="Q3" s="8" t="inlineStr">
        <is>
          <t>kurt</t>
        </is>
      </c>
      <c r="R3" s="8" t="inlineStr">
        <is>
          <t>evet</t>
        </is>
      </c>
      <c r="S3" s="8" t="n">
        <v>3</v>
      </c>
      <c r="T3" s="8" t="inlineStr"/>
    </row>
    <row r="4">
      <c r="A4" s="8" t="n">
        <v>1</v>
      </c>
      <c r="B4" s="8" t="inlineStr">
        <is>
          <t>https://youtube.com/watch?v=ORNEK1</t>
        </is>
      </c>
      <c r="C4" s="8" t="inlineStr">
        <is>
          <t>2026-07-07</t>
        </is>
      </c>
      <c r="D4" s="8" t="inlineStr">
        <is>
          <t>gun</t>
        </is>
      </c>
      <c r="E4" s="8" t="inlineStr">
        <is>
          <t>Didim</t>
        </is>
      </c>
      <c r="F4" s="8" t="n">
        <v>37.34</v>
      </c>
      <c r="G4" s="8" t="n">
        <v>27.25</v>
      </c>
      <c r="H4" s="8" t="inlineStr">
        <is>
          <t>mevki</t>
        </is>
      </c>
      <c r="I4" s="8" t="inlineStr">
        <is>
          <t>gece</t>
        </is>
      </c>
      <c r="J4" s="8" t="inlineStr">
        <is>
          <t>22:00</t>
        </is>
      </c>
      <c r="K4" s="8" t="inlineStr">
        <is>
          <t>tutuldu</t>
        </is>
      </c>
      <c r="L4" s="8" t="inlineStr">
        <is>
          <t>trakonya</t>
        </is>
      </c>
      <c r="M4" s="8" t="inlineStr">
        <is>
          <t>trakonya</t>
        </is>
      </c>
      <c r="N4" s="8" t="n">
        <v>1</v>
      </c>
      <c r="O4" s="8" t="n">
        <v>20</v>
      </c>
      <c r="P4" s="8" t="inlineStr">
        <is>
          <t>kiyi_dip</t>
        </is>
      </c>
      <c r="Q4" s="8" t="inlineStr">
        <is>
          <t>kurt</t>
        </is>
      </c>
      <c r="R4" s="8" t="inlineStr">
        <is>
          <t>evet</t>
        </is>
      </c>
      <c r="S4" s="8" t="n">
        <v>3</v>
      </c>
      <c r="T4" s="8" t="inlineStr">
        <is>
          <t>Zehirli — videoda uyarı yapıldı</t>
        </is>
      </c>
    </row>
    <row r="5">
      <c r="A5" s="8" t="n">
        <v>2</v>
      </c>
      <c r="B5" s="8" t="inlineStr">
        <is>
          <t>https://youtube.com/watch?v=ORNEK2</t>
        </is>
      </c>
      <c r="C5" s="8" t="inlineStr">
        <is>
          <t>2026-07-12</t>
        </is>
      </c>
      <c r="D5" s="8" t="inlineStr">
        <is>
          <t>hafta</t>
        </is>
      </c>
      <c r="E5" s="8" t="inlineStr">
        <is>
          <t>Foça</t>
        </is>
      </c>
      <c r="F5" s="8" t="n"/>
      <c r="G5" s="8" t="n"/>
      <c r="H5" s="8" t="inlineStr">
        <is>
          <t>ilce</t>
        </is>
      </c>
      <c r="I5" s="8" t="inlineStr">
        <is>
          <t>safak</t>
        </is>
      </c>
      <c r="J5" s="8" t="inlineStr"/>
      <c r="K5" s="8" t="inlineStr">
        <is>
          <t>hic_cikmadi</t>
        </is>
      </c>
      <c r="L5" s="8" t="inlineStr"/>
      <c r="M5" s="8" t="inlineStr"/>
      <c r="N5" s="8" t="n"/>
      <c r="O5" s="8" t="n"/>
      <c r="P5" s="8" t="inlineStr">
        <is>
          <t>kiyi_spin</t>
        </is>
      </c>
      <c r="Q5" s="8" t="inlineStr">
        <is>
          <t>silikon</t>
        </is>
      </c>
      <c r="R5" s="8" t="inlineStr">
        <is>
          <t>evet</t>
        </is>
      </c>
      <c r="S5" s="8" t="n">
        <v>2</v>
      </c>
      <c r="T5" s="8" t="inlineStr">
        <is>
          <t>3 saat attılar, hiçbir şey çıkmadı → EN DEĞERLİ kayıt tipi</t>
        </is>
      </c>
    </row>
    <row r="6">
      <c r="A6" s="9" t="n"/>
      <c r="B6" s="9" t="n"/>
      <c r="C6" s="9" t="n"/>
      <c r="D6" s="9" t="n"/>
      <c r="E6" s="9" t="n"/>
      <c r="F6" s="10" t="n"/>
      <c r="G6" s="10" t="n"/>
      <c r="H6" s="9" t="n"/>
      <c r="I6" s="9" t="n"/>
      <c r="J6" s="10" t="n"/>
      <c r="K6" s="9" t="n"/>
      <c r="L6" s="9" t="n"/>
      <c r="M6" s="10" t="n"/>
      <c r="N6" s="10" t="n"/>
      <c r="O6" s="10" t="n"/>
      <c r="P6" s="9" t="n"/>
      <c r="Q6" s="10" t="n"/>
      <c r="R6" s="9" t="n"/>
      <c r="S6" s="9" t="n"/>
      <c r="T6" s="10" t="n"/>
      <c r="U6" s="11">
        <f>IF(COUNTA(A6:T6)=0,"",IF(COUNTBLANK(A6)+COUNTBLANK(B6)+COUNTBLANK(C6)+COUNTBLANK(D6)+COUNTBLANK(E6)+COUNTBLANK(H6)+COUNTBLANK(I6)+COUNTBLANK(K6)+COUNTBLANK(P6)+COUNTBLANK(R6)+COUNTBLANK(S6)&gt;0,"eksik zorunlu alan var",IF(AND(K6="tutuldu",COUNTBLANK(L6)&gt;0),"tur_video bos",IF(AND(K6="hic_cikmadi",COUNTBLANK(L6)=0),"hic_cikmadi ama tur yazili",IF(AND(R6="evet",K6="tutuldu"),"TAMAM - negatif cikarimina uygun","TAMAM")))))</f>
        <v/>
      </c>
    </row>
    <row r="7">
      <c r="A7" s="9" t="n"/>
      <c r="B7" s="9" t="n"/>
      <c r="C7" s="9" t="n"/>
      <c r="D7" s="9" t="n"/>
      <c r="E7" s="9" t="n"/>
      <c r="F7" s="10" t="n"/>
      <c r="G7" s="10" t="n"/>
      <c r="H7" s="9" t="n"/>
      <c r="I7" s="9" t="n"/>
      <c r="J7" s="10" t="n"/>
      <c r="K7" s="9" t="n"/>
      <c r="L7" s="9" t="n"/>
      <c r="M7" s="10" t="n"/>
      <c r="N7" s="10" t="n"/>
      <c r="O7" s="10" t="n"/>
      <c r="P7" s="9" t="n"/>
      <c r="Q7" s="10" t="n"/>
      <c r="R7" s="9" t="n"/>
      <c r="S7" s="9" t="n"/>
      <c r="T7" s="10" t="n"/>
      <c r="U7" s="11">
        <f>IF(COUNTA(A7:T7)=0,"",IF(COUNTBLANK(A7)+COUNTBLANK(B7)+COUNTBLANK(C7)+COUNTBLANK(D7)+COUNTBLANK(E7)+COUNTBLANK(H7)+COUNTBLANK(I7)+COUNTBLANK(K7)+COUNTBLANK(P7)+COUNTBLANK(R7)+COUNTBLANK(S7)&gt;0,"eksik zorunlu alan var",IF(AND(K7="tutuldu",COUNTBLANK(L7)&gt;0),"tur_video bos",IF(AND(K7="hic_cikmadi",COUNTBLANK(L7)=0),"hic_cikmadi ama tur yazili",IF(AND(R7="evet",K7="tutuldu"),"TAMAM - negatif cikarimina uygun","TAMAM")))))</f>
        <v/>
      </c>
    </row>
    <row r="8">
      <c r="A8" s="9" t="n"/>
      <c r="B8" s="9" t="n"/>
      <c r="C8" s="9" t="n"/>
      <c r="D8" s="9" t="n"/>
      <c r="E8" s="9" t="n"/>
      <c r="F8" s="10" t="n"/>
      <c r="G8" s="10" t="n"/>
      <c r="H8" s="9" t="n"/>
      <c r="I8" s="9" t="n"/>
      <c r="J8" s="10" t="n"/>
      <c r="K8" s="9" t="n"/>
      <c r="L8" s="9" t="n"/>
      <c r="M8" s="10" t="n"/>
      <c r="N8" s="10" t="n"/>
      <c r="O8" s="10" t="n"/>
      <c r="P8" s="9" t="n"/>
      <c r="Q8" s="10" t="n"/>
      <c r="R8" s="9" t="n"/>
      <c r="S8" s="9" t="n"/>
      <c r="T8" s="10" t="n"/>
      <c r="U8" s="11">
        <f>IF(COUNTA(A8:T8)=0,"",IF(COUNTBLANK(A8)+COUNTBLANK(B8)+COUNTBLANK(C8)+COUNTBLANK(D8)+COUNTBLANK(E8)+COUNTBLANK(H8)+COUNTBLANK(I8)+COUNTBLANK(K8)+COUNTBLANK(P8)+COUNTBLANK(R8)+COUNTBLANK(S8)&gt;0,"eksik zorunlu alan var",IF(AND(K8="tutuldu",COUNTBLANK(L8)&gt;0),"tur_video bos",IF(AND(K8="hic_cikmadi",COUNTBLANK(L8)=0),"hic_cikmadi ama tur yazili",IF(AND(R8="evet",K8="tutuldu"),"TAMAM - negatif cikarimina uygun","TAMAM")))))</f>
        <v/>
      </c>
    </row>
    <row r="9">
      <c r="A9" s="9" t="n"/>
      <c r="B9" s="9" t="n"/>
      <c r="C9" s="9" t="n"/>
      <c r="D9" s="9" t="n"/>
      <c r="E9" s="9" t="n"/>
      <c r="F9" s="10" t="n"/>
      <c r="G9" s="10" t="n"/>
      <c r="H9" s="9" t="n"/>
      <c r="I9" s="9" t="n"/>
      <c r="J9" s="10" t="n"/>
      <c r="K9" s="9" t="n"/>
      <c r="L9" s="9" t="n"/>
      <c r="M9" s="10" t="n"/>
      <c r="N9" s="10" t="n"/>
      <c r="O9" s="10" t="n"/>
      <c r="P9" s="9" t="n"/>
      <c r="Q9" s="10" t="n"/>
      <c r="R9" s="9" t="n"/>
      <c r="S9" s="9" t="n"/>
      <c r="T9" s="10" t="n"/>
      <c r="U9" s="11">
        <f>IF(COUNTA(A9:T9)=0,"",IF(COUNTBLANK(A9)+COUNTBLANK(B9)+COUNTBLANK(C9)+COUNTBLANK(D9)+COUNTBLANK(E9)+COUNTBLANK(H9)+COUNTBLANK(I9)+COUNTBLANK(K9)+COUNTBLANK(P9)+COUNTBLANK(R9)+COUNTBLANK(S9)&gt;0,"eksik zorunlu alan var",IF(AND(K9="tutuldu",COUNTBLANK(L9)&gt;0),"tur_video bos",IF(AND(K9="hic_cikmadi",COUNTBLANK(L9)=0),"hic_cikmadi ama tur yazili",IF(AND(R9="evet",K9="tutuldu"),"TAMAM - negatif cikarimina uygun","TAMAM")))))</f>
        <v/>
      </c>
    </row>
    <row r="10">
      <c r="A10" s="9" t="n"/>
      <c r="B10" s="9" t="n"/>
      <c r="C10" s="9" t="n"/>
      <c r="D10" s="9" t="n"/>
      <c r="E10" s="9" t="n"/>
      <c r="F10" s="10" t="n"/>
      <c r="G10" s="10" t="n"/>
      <c r="H10" s="9" t="n"/>
      <c r="I10" s="9" t="n"/>
      <c r="J10" s="10" t="n"/>
      <c r="K10" s="9" t="n"/>
      <c r="L10" s="9" t="n"/>
      <c r="M10" s="10" t="n"/>
      <c r="N10" s="10" t="n"/>
      <c r="O10" s="10" t="n"/>
      <c r="P10" s="9" t="n"/>
      <c r="Q10" s="10" t="n"/>
      <c r="R10" s="9" t="n"/>
      <c r="S10" s="9" t="n"/>
      <c r="T10" s="10" t="n"/>
      <c r="U10" s="11">
        <f>IF(COUNTA(A10:T10)=0,"",IF(COUNTBLANK(A10)+COUNTBLANK(B10)+COUNTBLANK(C10)+COUNTBLANK(D10)+COUNTBLANK(E10)+COUNTBLANK(H10)+COUNTBLANK(I10)+COUNTBLANK(K10)+COUNTBLANK(P10)+COUNTBLANK(R10)+COUNTBLANK(S10)&gt;0,"eksik zorunlu alan var",IF(AND(K10="tutuldu",COUNTBLANK(L10)&gt;0),"tur_video bos",IF(AND(K10="hic_cikmadi",COUNTBLANK(L10)=0),"hic_cikmadi ama tur yazili",IF(AND(R10="evet",K10="tutuldu"),"TAMAM - negatif cikarimina uygun","TAMAM")))))</f>
        <v/>
      </c>
    </row>
    <row r="11">
      <c r="A11" s="9" t="n"/>
      <c r="B11" s="9" t="n"/>
      <c r="C11" s="9" t="n"/>
      <c r="D11" s="9" t="n"/>
      <c r="E11" s="9" t="n"/>
      <c r="F11" s="10" t="n"/>
      <c r="G11" s="10" t="n"/>
      <c r="H11" s="9" t="n"/>
      <c r="I11" s="9" t="n"/>
      <c r="J11" s="10" t="n"/>
      <c r="K11" s="9" t="n"/>
      <c r="L11" s="9" t="n"/>
      <c r="M11" s="10" t="n"/>
      <c r="N11" s="10" t="n"/>
      <c r="O11" s="10" t="n"/>
      <c r="P11" s="9" t="n"/>
      <c r="Q11" s="10" t="n"/>
      <c r="R11" s="9" t="n"/>
      <c r="S11" s="9" t="n"/>
      <c r="T11" s="10" t="n"/>
      <c r="U11" s="11">
        <f>IF(COUNTA(A11:T11)=0,"",IF(COUNTBLANK(A11)+COUNTBLANK(B11)+COUNTBLANK(C11)+COUNTBLANK(D11)+COUNTBLANK(E11)+COUNTBLANK(H11)+COUNTBLANK(I11)+COUNTBLANK(K11)+COUNTBLANK(P11)+COUNTBLANK(R11)+COUNTBLANK(S11)&gt;0,"eksik zorunlu alan var",IF(AND(K11="tutuldu",COUNTBLANK(L11)&gt;0),"tur_video bos",IF(AND(K11="hic_cikmadi",COUNTBLANK(L11)=0),"hic_cikmadi ama tur yazili",IF(AND(R11="evet",K11="tutuldu"),"TAMAM - negatif cikarimina uygun","TAMAM")))))</f>
        <v/>
      </c>
    </row>
    <row r="12">
      <c r="A12" s="9" t="n"/>
      <c r="B12" s="9" t="n"/>
      <c r="C12" s="9" t="n"/>
      <c r="D12" s="9" t="n"/>
      <c r="E12" s="9" t="n"/>
      <c r="F12" s="10" t="n"/>
      <c r="G12" s="10" t="n"/>
      <c r="H12" s="9" t="n"/>
      <c r="I12" s="9" t="n"/>
      <c r="J12" s="10" t="n"/>
      <c r="K12" s="9" t="n"/>
      <c r="L12" s="9" t="n"/>
      <c r="M12" s="10" t="n"/>
      <c r="N12" s="10" t="n"/>
      <c r="O12" s="10" t="n"/>
      <c r="P12" s="9" t="n"/>
      <c r="Q12" s="10" t="n"/>
      <c r="R12" s="9" t="n"/>
      <c r="S12" s="9" t="n"/>
      <c r="T12" s="10" t="n"/>
      <c r="U12" s="11">
        <f>IF(COUNTA(A12:T12)=0,"",IF(COUNTBLANK(A12)+COUNTBLANK(B12)+COUNTBLANK(C12)+COUNTBLANK(D12)+COUNTBLANK(E12)+COUNTBLANK(H12)+COUNTBLANK(I12)+COUNTBLANK(K12)+COUNTBLANK(P12)+COUNTBLANK(R12)+COUNTBLANK(S12)&gt;0,"eksik zorunlu alan var",IF(AND(K12="tutuldu",COUNTBLANK(L12)&gt;0),"tur_video bos",IF(AND(K12="hic_cikmadi",COUNTBLANK(L12)=0),"hic_cikmadi ama tur yazili",IF(AND(R12="evet",K12="tutuldu"),"TAMAM - negatif cikarimina uygun","TAMAM")))))</f>
        <v/>
      </c>
    </row>
    <row r="13">
      <c r="A13" s="9" t="n"/>
      <c r="B13" s="9" t="n"/>
      <c r="C13" s="9" t="n"/>
      <c r="D13" s="9" t="n"/>
      <c r="E13" s="9" t="n"/>
      <c r="F13" s="10" t="n"/>
      <c r="G13" s="10" t="n"/>
      <c r="H13" s="9" t="n"/>
      <c r="I13" s="9" t="n"/>
      <c r="J13" s="10" t="n"/>
      <c r="K13" s="9" t="n"/>
      <c r="L13" s="9" t="n"/>
      <c r="M13" s="10" t="n"/>
      <c r="N13" s="10" t="n"/>
      <c r="O13" s="10" t="n"/>
      <c r="P13" s="9" t="n"/>
      <c r="Q13" s="10" t="n"/>
      <c r="R13" s="9" t="n"/>
      <c r="S13" s="9" t="n"/>
      <c r="T13" s="10" t="n"/>
      <c r="U13" s="11">
        <f>IF(COUNTA(A13:T13)=0,"",IF(COUNTBLANK(A13)+COUNTBLANK(B13)+COUNTBLANK(C13)+COUNTBLANK(D13)+COUNTBLANK(E13)+COUNTBLANK(H13)+COUNTBLANK(I13)+COUNTBLANK(K13)+COUNTBLANK(P13)+COUNTBLANK(R13)+COUNTBLANK(S13)&gt;0,"eksik zorunlu alan var",IF(AND(K13="tutuldu",COUNTBLANK(L13)&gt;0),"tur_video bos",IF(AND(K13="hic_cikmadi",COUNTBLANK(L13)=0),"hic_cikmadi ama tur yazili",IF(AND(R13="evet",K13="tutuldu"),"TAMAM - negatif cikarimina uygun","TAMAM")))))</f>
        <v/>
      </c>
    </row>
    <row r="14">
      <c r="A14" s="9" t="n"/>
      <c r="B14" s="9" t="n"/>
      <c r="C14" s="9" t="n"/>
      <c r="D14" s="9" t="n"/>
      <c r="E14" s="9" t="n"/>
      <c r="F14" s="10" t="n"/>
      <c r="G14" s="10" t="n"/>
      <c r="H14" s="9" t="n"/>
      <c r="I14" s="9" t="n"/>
      <c r="J14" s="10" t="n"/>
      <c r="K14" s="9" t="n"/>
      <c r="L14" s="9" t="n"/>
      <c r="M14" s="10" t="n"/>
      <c r="N14" s="10" t="n"/>
      <c r="O14" s="10" t="n"/>
      <c r="P14" s="9" t="n"/>
      <c r="Q14" s="10" t="n"/>
      <c r="R14" s="9" t="n"/>
      <c r="S14" s="9" t="n"/>
      <c r="T14" s="10" t="n"/>
      <c r="U14" s="11">
        <f>IF(COUNTA(A14:T14)=0,"",IF(COUNTBLANK(A14)+COUNTBLANK(B14)+COUNTBLANK(C14)+COUNTBLANK(D14)+COUNTBLANK(E14)+COUNTBLANK(H14)+COUNTBLANK(I14)+COUNTBLANK(K14)+COUNTBLANK(P14)+COUNTBLANK(R14)+COUNTBLANK(S14)&gt;0,"eksik zorunlu alan var",IF(AND(K14="tutuldu",COUNTBLANK(L14)&gt;0),"tur_video bos",IF(AND(K14="hic_cikmadi",COUNTBLANK(L14)=0),"hic_cikmadi ama tur yazili",IF(AND(R14="evet",K14="tutuldu"),"TAMAM - negatif cikarimina uygun","TAMAM")))))</f>
        <v/>
      </c>
    </row>
    <row r="15">
      <c r="A15" s="9" t="n"/>
      <c r="B15" s="9" t="n"/>
      <c r="C15" s="9" t="n"/>
      <c r="D15" s="9" t="n"/>
      <c r="E15" s="9" t="n"/>
      <c r="F15" s="10" t="n"/>
      <c r="G15" s="10" t="n"/>
      <c r="H15" s="9" t="n"/>
      <c r="I15" s="9" t="n"/>
      <c r="J15" s="10" t="n"/>
      <c r="K15" s="9" t="n"/>
      <c r="L15" s="9" t="n"/>
      <c r="M15" s="10" t="n"/>
      <c r="N15" s="10" t="n"/>
      <c r="O15" s="10" t="n"/>
      <c r="P15" s="9" t="n"/>
      <c r="Q15" s="10" t="n"/>
      <c r="R15" s="9" t="n"/>
      <c r="S15" s="9" t="n"/>
      <c r="T15" s="10" t="n"/>
      <c r="U15" s="11">
        <f>IF(COUNTA(A15:T15)=0,"",IF(COUNTBLANK(A15)+COUNTBLANK(B15)+COUNTBLANK(C15)+COUNTBLANK(D15)+COUNTBLANK(E15)+COUNTBLANK(H15)+COUNTBLANK(I15)+COUNTBLANK(K15)+COUNTBLANK(P15)+COUNTBLANK(R15)+COUNTBLANK(S15)&gt;0,"eksik zorunlu alan var",IF(AND(K15="tutuldu",COUNTBLANK(L15)&gt;0),"tur_video bos",IF(AND(K15="hic_cikmadi",COUNTBLANK(L15)=0),"hic_cikmadi ama tur yazili",IF(AND(R15="evet",K15="tutuldu"),"TAMAM - negatif cikarimina uygun","TAMAM")))))</f>
        <v/>
      </c>
    </row>
    <row r="16">
      <c r="A16" s="9" t="n"/>
      <c r="B16" s="9" t="n"/>
      <c r="C16" s="9" t="n"/>
      <c r="D16" s="9" t="n"/>
      <c r="E16" s="9" t="n"/>
      <c r="F16" s="10" t="n"/>
      <c r="G16" s="10" t="n"/>
      <c r="H16" s="9" t="n"/>
      <c r="I16" s="9" t="n"/>
      <c r="J16" s="10" t="n"/>
      <c r="K16" s="9" t="n"/>
      <c r="L16" s="9" t="n"/>
      <c r="M16" s="10" t="n"/>
      <c r="N16" s="10" t="n"/>
      <c r="O16" s="10" t="n"/>
      <c r="P16" s="9" t="n"/>
      <c r="Q16" s="10" t="n"/>
      <c r="R16" s="9" t="n"/>
      <c r="S16" s="9" t="n"/>
      <c r="T16" s="10" t="n"/>
      <c r="U16" s="11">
        <f>IF(COUNTA(A16:T16)=0,"",IF(COUNTBLANK(A16)+COUNTBLANK(B16)+COUNTBLANK(C16)+COUNTBLANK(D16)+COUNTBLANK(E16)+COUNTBLANK(H16)+COUNTBLANK(I16)+COUNTBLANK(K16)+COUNTBLANK(P16)+COUNTBLANK(R16)+COUNTBLANK(S16)&gt;0,"eksik zorunlu alan var",IF(AND(K16="tutuldu",COUNTBLANK(L16)&gt;0),"tur_video bos",IF(AND(K16="hic_cikmadi",COUNTBLANK(L16)=0),"hic_cikmadi ama tur yazili",IF(AND(R16="evet",K16="tutuldu"),"TAMAM - negatif cikarimina uygun","TAMAM")))))</f>
        <v/>
      </c>
    </row>
    <row r="17">
      <c r="A17" s="9" t="n"/>
      <c r="B17" s="9" t="n"/>
      <c r="C17" s="9" t="n"/>
      <c r="D17" s="9" t="n"/>
      <c r="E17" s="9" t="n"/>
      <c r="F17" s="10" t="n"/>
      <c r="G17" s="10" t="n"/>
      <c r="H17" s="9" t="n"/>
      <c r="I17" s="9" t="n"/>
      <c r="J17" s="10" t="n"/>
      <c r="K17" s="9" t="n"/>
      <c r="L17" s="9" t="n"/>
      <c r="M17" s="10" t="n"/>
      <c r="N17" s="10" t="n"/>
      <c r="O17" s="10" t="n"/>
      <c r="P17" s="9" t="n"/>
      <c r="Q17" s="10" t="n"/>
      <c r="R17" s="9" t="n"/>
      <c r="S17" s="9" t="n"/>
      <c r="T17" s="10" t="n"/>
      <c r="U17" s="11">
        <f>IF(COUNTA(A17:T17)=0,"",IF(COUNTBLANK(A17)+COUNTBLANK(B17)+COUNTBLANK(C17)+COUNTBLANK(D17)+COUNTBLANK(E17)+COUNTBLANK(H17)+COUNTBLANK(I17)+COUNTBLANK(K17)+COUNTBLANK(P17)+COUNTBLANK(R17)+COUNTBLANK(S17)&gt;0,"eksik zorunlu alan var",IF(AND(K17="tutuldu",COUNTBLANK(L17)&gt;0),"tur_video bos",IF(AND(K17="hic_cikmadi",COUNTBLANK(L17)=0),"hic_cikmadi ama tur yazili",IF(AND(R17="evet",K17="tutuldu"),"TAMAM - negatif cikarimina uygun","TAMAM")))))</f>
        <v/>
      </c>
    </row>
    <row r="18">
      <c r="A18" s="9" t="n"/>
      <c r="B18" s="9" t="n"/>
      <c r="C18" s="9" t="n"/>
      <c r="D18" s="9" t="n"/>
      <c r="E18" s="9" t="n"/>
      <c r="F18" s="10" t="n"/>
      <c r="G18" s="10" t="n"/>
      <c r="H18" s="9" t="n"/>
      <c r="I18" s="9" t="n"/>
      <c r="J18" s="10" t="n"/>
      <c r="K18" s="9" t="n"/>
      <c r="L18" s="9" t="n"/>
      <c r="M18" s="10" t="n"/>
      <c r="N18" s="10" t="n"/>
      <c r="O18" s="10" t="n"/>
      <c r="P18" s="9" t="n"/>
      <c r="Q18" s="10" t="n"/>
      <c r="R18" s="9" t="n"/>
      <c r="S18" s="9" t="n"/>
      <c r="T18" s="10" t="n"/>
      <c r="U18" s="11">
        <f>IF(COUNTA(A18:T18)=0,"",IF(COUNTBLANK(A18)+COUNTBLANK(B18)+COUNTBLANK(C18)+COUNTBLANK(D18)+COUNTBLANK(E18)+COUNTBLANK(H18)+COUNTBLANK(I18)+COUNTBLANK(K18)+COUNTBLANK(P18)+COUNTBLANK(R18)+COUNTBLANK(S18)&gt;0,"eksik zorunlu alan var",IF(AND(K18="tutuldu",COUNTBLANK(L18)&gt;0),"tur_video bos",IF(AND(K18="hic_cikmadi",COUNTBLANK(L18)=0),"hic_cikmadi ama tur yazili",IF(AND(R18="evet",K18="tutuldu"),"TAMAM - negatif cikarimina uygun","TAMAM")))))</f>
        <v/>
      </c>
    </row>
    <row r="19">
      <c r="A19" s="9" t="n"/>
      <c r="B19" s="9" t="n"/>
      <c r="C19" s="9" t="n"/>
      <c r="D19" s="9" t="n"/>
      <c r="E19" s="9" t="n"/>
      <c r="F19" s="10" t="n"/>
      <c r="G19" s="10" t="n"/>
      <c r="H19" s="9" t="n"/>
      <c r="I19" s="9" t="n"/>
      <c r="J19" s="10" t="n"/>
      <c r="K19" s="9" t="n"/>
      <c r="L19" s="9" t="n"/>
      <c r="M19" s="10" t="n"/>
      <c r="N19" s="10" t="n"/>
      <c r="O19" s="10" t="n"/>
      <c r="P19" s="9" t="n"/>
      <c r="Q19" s="10" t="n"/>
      <c r="R19" s="9" t="n"/>
      <c r="S19" s="9" t="n"/>
      <c r="T19" s="10" t="n"/>
      <c r="U19" s="11">
        <f>IF(COUNTA(A19:T19)=0,"",IF(COUNTBLANK(A19)+COUNTBLANK(B19)+COUNTBLANK(C19)+COUNTBLANK(D19)+COUNTBLANK(E19)+COUNTBLANK(H19)+COUNTBLANK(I19)+COUNTBLANK(K19)+COUNTBLANK(P19)+COUNTBLANK(R19)+COUNTBLANK(S19)&gt;0,"eksik zorunlu alan var",IF(AND(K19="tutuldu",COUNTBLANK(L19)&gt;0),"tur_video bos",IF(AND(K19="hic_cikmadi",COUNTBLANK(L19)=0),"hic_cikmadi ama tur yazili",IF(AND(R19="evet",K19="tutuldu"),"TAMAM - negatif cikarimina uygun","TAMAM")))))</f>
        <v/>
      </c>
    </row>
    <row r="20">
      <c r="A20" s="9" t="n"/>
      <c r="B20" s="9" t="n"/>
      <c r="C20" s="9" t="n"/>
      <c r="D20" s="9" t="n"/>
      <c r="E20" s="9" t="n"/>
      <c r="F20" s="10" t="n"/>
      <c r="G20" s="10" t="n"/>
      <c r="H20" s="9" t="n"/>
      <c r="I20" s="9" t="n"/>
      <c r="J20" s="10" t="n"/>
      <c r="K20" s="9" t="n"/>
      <c r="L20" s="9" t="n"/>
      <c r="M20" s="10" t="n"/>
      <c r="N20" s="10" t="n"/>
      <c r="O20" s="10" t="n"/>
      <c r="P20" s="9" t="n"/>
      <c r="Q20" s="10" t="n"/>
      <c r="R20" s="9" t="n"/>
      <c r="S20" s="9" t="n"/>
      <c r="T20" s="10" t="n"/>
      <c r="U20" s="11">
        <f>IF(COUNTA(A20:T20)=0,"",IF(COUNTBLANK(A20)+COUNTBLANK(B20)+COUNTBLANK(C20)+COUNTBLANK(D20)+COUNTBLANK(E20)+COUNTBLANK(H20)+COUNTBLANK(I20)+COUNTBLANK(K20)+COUNTBLANK(P20)+COUNTBLANK(R20)+COUNTBLANK(S20)&gt;0,"eksik zorunlu alan var",IF(AND(K20="tutuldu",COUNTBLANK(L20)&gt;0),"tur_video bos",IF(AND(K20="hic_cikmadi",COUNTBLANK(L20)=0),"hic_cikmadi ama tur yazili",IF(AND(R20="evet",K20="tutuldu"),"TAMAM - negatif cikarimina uygun","TAMAM")))))</f>
        <v/>
      </c>
    </row>
    <row r="21">
      <c r="A21" s="9" t="n"/>
      <c r="B21" s="9" t="n"/>
      <c r="C21" s="9" t="n"/>
      <c r="D21" s="9" t="n"/>
      <c r="E21" s="9" t="n"/>
      <c r="F21" s="10" t="n"/>
      <c r="G21" s="10" t="n"/>
      <c r="H21" s="9" t="n"/>
      <c r="I21" s="9" t="n"/>
      <c r="J21" s="10" t="n"/>
      <c r="K21" s="9" t="n"/>
      <c r="L21" s="9" t="n"/>
      <c r="M21" s="10" t="n"/>
      <c r="N21" s="10" t="n"/>
      <c r="O21" s="10" t="n"/>
      <c r="P21" s="9" t="n"/>
      <c r="Q21" s="10" t="n"/>
      <c r="R21" s="9" t="n"/>
      <c r="S21" s="9" t="n"/>
      <c r="T21" s="10" t="n"/>
      <c r="U21" s="11">
        <f>IF(COUNTA(A21:T21)=0,"",IF(COUNTBLANK(A21)+COUNTBLANK(B21)+COUNTBLANK(C21)+COUNTBLANK(D21)+COUNTBLANK(E21)+COUNTBLANK(H21)+COUNTBLANK(I21)+COUNTBLANK(K21)+COUNTBLANK(P21)+COUNTBLANK(R21)+COUNTBLANK(S21)&gt;0,"eksik zorunlu alan var",IF(AND(K21="tutuldu",COUNTBLANK(L21)&gt;0),"tur_video bos",IF(AND(K21="hic_cikmadi",COUNTBLANK(L21)=0),"hic_cikmadi ama tur yazili",IF(AND(R21="evet",K21="tutuldu"),"TAMAM - negatif cikarimina uygun","TAMAM")))))</f>
        <v/>
      </c>
    </row>
    <row r="22">
      <c r="A22" s="9" t="n"/>
      <c r="B22" s="9" t="n"/>
      <c r="C22" s="9" t="n"/>
      <c r="D22" s="9" t="n"/>
      <c r="E22" s="9" t="n"/>
      <c r="F22" s="10" t="n"/>
      <c r="G22" s="10" t="n"/>
      <c r="H22" s="9" t="n"/>
      <c r="I22" s="9" t="n"/>
      <c r="J22" s="10" t="n"/>
      <c r="K22" s="9" t="n"/>
      <c r="L22" s="9" t="n"/>
      <c r="M22" s="10" t="n"/>
      <c r="N22" s="10" t="n"/>
      <c r="O22" s="10" t="n"/>
      <c r="P22" s="9" t="n"/>
      <c r="Q22" s="10" t="n"/>
      <c r="R22" s="9" t="n"/>
      <c r="S22" s="9" t="n"/>
      <c r="T22" s="10" t="n"/>
      <c r="U22" s="11">
        <f>IF(COUNTA(A22:T22)=0,"",IF(COUNTBLANK(A22)+COUNTBLANK(B22)+COUNTBLANK(C22)+COUNTBLANK(D22)+COUNTBLANK(E22)+COUNTBLANK(H22)+COUNTBLANK(I22)+COUNTBLANK(K22)+COUNTBLANK(P22)+COUNTBLANK(R22)+COUNTBLANK(S22)&gt;0,"eksik zorunlu alan var",IF(AND(K22="tutuldu",COUNTBLANK(L22)&gt;0),"tur_video bos",IF(AND(K22="hic_cikmadi",COUNTBLANK(L22)=0),"hic_cikmadi ama tur yazili",IF(AND(R22="evet",K22="tutuldu"),"TAMAM - negatif cikarimina uygun","TAMAM")))))</f>
        <v/>
      </c>
    </row>
    <row r="23">
      <c r="A23" s="9" t="n"/>
      <c r="B23" s="9" t="n"/>
      <c r="C23" s="9" t="n"/>
      <c r="D23" s="9" t="n"/>
      <c r="E23" s="9" t="n"/>
      <c r="F23" s="10" t="n"/>
      <c r="G23" s="10" t="n"/>
      <c r="H23" s="9" t="n"/>
      <c r="I23" s="9" t="n"/>
      <c r="J23" s="10" t="n"/>
      <c r="K23" s="9" t="n"/>
      <c r="L23" s="9" t="n"/>
      <c r="M23" s="10" t="n"/>
      <c r="N23" s="10" t="n"/>
      <c r="O23" s="10" t="n"/>
      <c r="P23" s="9" t="n"/>
      <c r="Q23" s="10" t="n"/>
      <c r="R23" s="9" t="n"/>
      <c r="S23" s="9" t="n"/>
      <c r="T23" s="10" t="n"/>
      <c r="U23" s="11">
        <f>IF(COUNTA(A23:T23)=0,"",IF(COUNTBLANK(A23)+COUNTBLANK(B23)+COUNTBLANK(C23)+COUNTBLANK(D23)+COUNTBLANK(E23)+COUNTBLANK(H23)+COUNTBLANK(I23)+COUNTBLANK(K23)+COUNTBLANK(P23)+COUNTBLANK(R23)+COUNTBLANK(S23)&gt;0,"eksik zorunlu alan var",IF(AND(K23="tutuldu",COUNTBLANK(L23)&gt;0),"tur_video bos",IF(AND(K23="hic_cikmadi",COUNTBLANK(L23)=0),"hic_cikmadi ama tur yazili",IF(AND(R23="evet",K23="tutuldu"),"TAMAM - negatif cikarimina uygun","TAMAM")))))</f>
        <v/>
      </c>
    </row>
    <row r="24">
      <c r="A24" s="9" t="n"/>
      <c r="B24" s="9" t="n"/>
      <c r="C24" s="9" t="n"/>
      <c r="D24" s="9" t="n"/>
      <c r="E24" s="9" t="n"/>
      <c r="F24" s="10" t="n"/>
      <c r="G24" s="10" t="n"/>
      <c r="H24" s="9" t="n"/>
      <c r="I24" s="9" t="n"/>
      <c r="J24" s="10" t="n"/>
      <c r="K24" s="9" t="n"/>
      <c r="L24" s="9" t="n"/>
      <c r="M24" s="10" t="n"/>
      <c r="N24" s="10" t="n"/>
      <c r="O24" s="10" t="n"/>
      <c r="P24" s="9" t="n"/>
      <c r="Q24" s="10" t="n"/>
      <c r="R24" s="9" t="n"/>
      <c r="S24" s="9" t="n"/>
      <c r="T24" s="10" t="n"/>
      <c r="U24" s="11">
        <f>IF(COUNTA(A24:T24)=0,"",IF(COUNTBLANK(A24)+COUNTBLANK(B24)+COUNTBLANK(C24)+COUNTBLANK(D24)+COUNTBLANK(E24)+COUNTBLANK(H24)+COUNTBLANK(I24)+COUNTBLANK(K24)+COUNTBLANK(P24)+COUNTBLANK(R24)+COUNTBLANK(S24)&gt;0,"eksik zorunlu alan var",IF(AND(K24="tutuldu",COUNTBLANK(L24)&gt;0),"tur_video bos",IF(AND(K24="hic_cikmadi",COUNTBLANK(L24)=0),"hic_cikmadi ama tur yazili",IF(AND(R24="evet",K24="tutuldu"),"TAMAM - negatif cikarimina uygun","TAMAM")))))</f>
        <v/>
      </c>
    </row>
    <row r="25">
      <c r="A25" s="9" t="n"/>
      <c r="B25" s="9" t="n"/>
      <c r="C25" s="9" t="n"/>
      <c r="D25" s="9" t="n"/>
      <c r="E25" s="9" t="n"/>
      <c r="F25" s="10" t="n"/>
      <c r="G25" s="10" t="n"/>
      <c r="H25" s="9" t="n"/>
      <c r="I25" s="9" t="n"/>
      <c r="J25" s="10" t="n"/>
      <c r="K25" s="9" t="n"/>
      <c r="L25" s="9" t="n"/>
      <c r="M25" s="10" t="n"/>
      <c r="N25" s="10" t="n"/>
      <c r="O25" s="10" t="n"/>
      <c r="P25" s="9" t="n"/>
      <c r="Q25" s="10" t="n"/>
      <c r="R25" s="9" t="n"/>
      <c r="S25" s="9" t="n"/>
      <c r="T25" s="10" t="n"/>
      <c r="U25" s="11">
        <f>IF(COUNTA(A25:T25)=0,"",IF(COUNTBLANK(A25)+COUNTBLANK(B25)+COUNTBLANK(C25)+COUNTBLANK(D25)+COUNTBLANK(E25)+COUNTBLANK(H25)+COUNTBLANK(I25)+COUNTBLANK(K25)+COUNTBLANK(P25)+COUNTBLANK(R25)+COUNTBLANK(S25)&gt;0,"eksik zorunlu alan var",IF(AND(K25="tutuldu",COUNTBLANK(L25)&gt;0),"tur_video bos",IF(AND(K25="hic_cikmadi",COUNTBLANK(L25)=0),"hic_cikmadi ama tur yazili",IF(AND(R25="evet",K25="tutuldu"),"TAMAM - negatif cikarimina uygun","TAMAM")))))</f>
        <v/>
      </c>
    </row>
    <row r="26">
      <c r="A26" s="9" t="n"/>
      <c r="B26" s="9" t="n"/>
      <c r="C26" s="9" t="n"/>
      <c r="D26" s="9" t="n"/>
      <c r="E26" s="9" t="n"/>
      <c r="F26" s="10" t="n"/>
      <c r="G26" s="10" t="n"/>
      <c r="H26" s="9" t="n"/>
      <c r="I26" s="9" t="n"/>
      <c r="J26" s="10" t="n"/>
      <c r="K26" s="9" t="n"/>
      <c r="L26" s="9" t="n"/>
      <c r="M26" s="10" t="n"/>
      <c r="N26" s="10" t="n"/>
      <c r="O26" s="10" t="n"/>
      <c r="P26" s="9" t="n"/>
      <c r="Q26" s="10" t="n"/>
      <c r="R26" s="9" t="n"/>
      <c r="S26" s="9" t="n"/>
      <c r="T26" s="10" t="n"/>
      <c r="U26" s="11">
        <f>IF(COUNTA(A26:T26)=0,"",IF(COUNTBLANK(A26)+COUNTBLANK(B26)+COUNTBLANK(C26)+COUNTBLANK(D26)+COUNTBLANK(E26)+COUNTBLANK(H26)+COUNTBLANK(I26)+COUNTBLANK(K26)+COUNTBLANK(P26)+COUNTBLANK(R26)+COUNTBLANK(S26)&gt;0,"eksik zorunlu alan var",IF(AND(K26="tutuldu",COUNTBLANK(L26)&gt;0),"tur_video bos",IF(AND(K26="hic_cikmadi",COUNTBLANK(L26)=0),"hic_cikmadi ama tur yazili",IF(AND(R26="evet",K26="tutuldu"),"TAMAM - negatif cikarimina uygun","TAMAM")))))</f>
        <v/>
      </c>
    </row>
    <row r="27">
      <c r="A27" s="9" t="n"/>
      <c r="B27" s="9" t="n"/>
      <c r="C27" s="9" t="n"/>
      <c r="D27" s="9" t="n"/>
      <c r="E27" s="9" t="n"/>
      <c r="F27" s="10" t="n"/>
      <c r="G27" s="10" t="n"/>
      <c r="H27" s="9" t="n"/>
      <c r="I27" s="9" t="n"/>
      <c r="J27" s="10" t="n"/>
      <c r="K27" s="9" t="n"/>
      <c r="L27" s="9" t="n"/>
      <c r="M27" s="10" t="n"/>
      <c r="N27" s="10" t="n"/>
      <c r="O27" s="10" t="n"/>
      <c r="P27" s="9" t="n"/>
      <c r="Q27" s="10" t="n"/>
      <c r="R27" s="9" t="n"/>
      <c r="S27" s="9" t="n"/>
      <c r="T27" s="10" t="n"/>
      <c r="U27" s="11">
        <f>IF(COUNTA(A27:T27)=0,"",IF(COUNTBLANK(A27)+COUNTBLANK(B27)+COUNTBLANK(C27)+COUNTBLANK(D27)+COUNTBLANK(E27)+COUNTBLANK(H27)+COUNTBLANK(I27)+COUNTBLANK(K27)+COUNTBLANK(P27)+COUNTBLANK(R27)+COUNTBLANK(S27)&gt;0,"eksik zorunlu alan var",IF(AND(K27="tutuldu",COUNTBLANK(L27)&gt;0),"tur_video bos",IF(AND(K27="hic_cikmadi",COUNTBLANK(L27)=0),"hic_cikmadi ama tur yazili",IF(AND(R27="evet",K27="tutuldu"),"TAMAM - negatif cikarimina uygun","TAMAM")))))</f>
        <v/>
      </c>
    </row>
    <row r="28">
      <c r="A28" s="9" t="n"/>
      <c r="B28" s="9" t="n"/>
      <c r="C28" s="9" t="n"/>
      <c r="D28" s="9" t="n"/>
      <c r="E28" s="9" t="n"/>
      <c r="F28" s="10" t="n"/>
      <c r="G28" s="10" t="n"/>
      <c r="H28" s="9" t="n"/>
      <c r="I28" s="9" t="n"/>
      <c r="J28" s="10" t="n"/>
      <c r="K28" s="9" t="n"/>
      <c r="L28" s="9" t="n"/>
      <c r="M28" s="10" t="n"/>
      <c r="N28" s="10" t="n"/>
      <c r="O28" s="10" t="n"/>
      <c r="P28" s="9" t="n"/>
      <c r="Q28" s="10" t="n"/>
      <c r="R28" s="9" t="n"/>
      <c r="S28" s="9" t="n"/>
      <c r="T28" s="10" t="n"/>
      <c r="U28" s="11">
        <f>IF(COUNTA(A28:T28)=0,"",IF(COUNTBLANK(A28)+COUNTBLANK(B28)+COUNTBLANK(C28)+COUNTBLANK(D28)+COUNTBLANK(E28)+COUNTBLANK(H28)+COUNTBLANK(I28)+COUNTBLANK(K28)+COUNTBLANK(P28)+COUNTBLANK(R28)+COUNTBLANK(S28)&gt;0,"eksik zorunlu alan var",IF(AND(K28="tutuldu",COUNTBLANK(L28)&gt;0),"tur_video bos",IF(AND(K28="hic_cikmadi",COUNTBLANK(L28)=0),"hic_cikmadi ama tur yazili",IF(AND(R28="evet",K28="tutuldu"),"TAMAM - negatif cikarimina uygun","TAMAM")))))</f>
        <v/>
      </c>
    </row>
    <row r="29">
      <c r="A29" s="9" t="n"/>
      <c r="B29" s="9" t="n"/>
      <c r="C29" s="9" t="n"/>
      <c r="D29" s="9" t="n"/>
      <c r="E29" s="9" t="n"/>
      <c r="F29" s="10" t="n"/>
      <c r="G29" s="10" t="n"/>
      <c r="H29" s="9" t="n"/>
      <c r="I29" s="9" t="n"/>
      <c r="J29" s="10" t="n"/>
      <c r="K29" s="9" t="n"/>
      <c r="L29" s="9" t="n"/>
      <c r="M29" s="10" t="n"/>
      <c r="N29" s="10" t="n"/>
      <c r="O29" s="10" t="n"/>
      <c r="P29" s="9" t="n"/>
      <c r="Q29" s="10" t="n"/>
      <c r="R29" s="9" t="n"/>
      <c r="S29" s="9" t="n"/>
      <c r="T29" s="10" t="n"/>
      <c r="U29" s="11">
        <f>IF(COUNTA(A29:T29)=0,"",IF(COUNTBLANK(A29)+COUNTBLANK(B29)+COUNTBLANK(C29)+COUNTBLANK(D29)+COUNTBLANK(E29)+COUNTBLANK(H29)+COUNTBLANK(I29)+COUNTBLANK(K29)+COUNTBLANK(P29)+COUNTBLANK(R29)+COUNTBLANK(S29)&gt;0,"eksik zorunlu alan var",IF(AND(K29="tutuldu",COUNTBLANK(L29)&gt;0),"tur_video bos",IF(AND(K29="hic_cikmadi",COUNTBLANK(L29)=0),"hic_cikmadi ama tur yazili",IF(AND(R29="evet",K29="tutuldu"),"TAMAM - negatif cikarimina uygun","TAMAM")))))</f>
        <v/>
      </c>
    </row>
    <row r="30">
      <c r="A30" s="9" t="n"/>
      <c r="B30" s="9" t="n"/>
      <c r="C30" s="9" t="n"/>
      <c r="D30" s="9" t="n"/>
      <c r="E30" s="9" t="n"/>
      <c r="F30" s="10" t="n"/>
      <c r="G30" s="10" t="n"/>
      <c r="H30" s="9" t="n"/>
      <c r="I30" s="9" t="n"/>
      <c r="J30" s="10" t="n"/>
      <c r="K30" s="9" t="n"/>
      <c r="L30" s="9" t="n"/>
      <c r="M30" s="10" t="n"/>
      <c r="N30" s="10" t="n"/>
      <c r="O30" s="10" t="n"/>
      <c r="P30" s="9" t="n"/>
      <c r="Q30" s="10" t="n"/>
      <c r="R30" s="9" t="n"/>
      <c r="S30" s="9" t="n"/>
      <c r="T30" s="10" t="n"/>
      <c r="U30" s="11">
        <f>IF(COUNTA(A30:T30)=0,"",IF(COUNTBLANK(A30)+COUNTBLANK(B30)+COUNTBLANK(C30)+COUNTBLANK(D30)+COUNTBLANK(E30)+COUNTBLANK(H30)+COUNTBLANK(I30)+COUNTBLANK(K30)+COUNTBLANK(P30)+COUNTBLANK(R30)+COUNTBLANK(S30)&gt;0,"eksik zorunlu alan var",IF(AND(K30="tutuldu",COUNTBLANK(L30)&gt;0),"tur_video bos",IF(AND(K30="hic_cikmadi",COUNTBLANK(L30)=0),"hic_cikmadi ama tur yazili",IF(AND(R30="evet",K30="tutuldu"),"TAMAM - negatif cikarimina uygun","TAMAM")))))</f>
        <v/>
      </c>
    </row>
    <row r="31">
      <c r="A31" s="9" t="n"/>
      <c r="B31" s="9" t="n"/>
      <c r="C31" s="9" t="n"/>
      <c r="D31" s="9" t="n"/>
      <c r="E31" s="9" t="n"/>
      <c r="F31" s="10" t="n"/>
      <c r="G31" s="10" t="n"/>
      <c r="H31" s="9" t="n"/>
      <c r="I31" s="9" t="n"/>
      <c r="J31" s="10" t="n"/>
      <c r="K31" s="9" t="n"/>
      <c r="L31" s="9" t="n"/>
      <c r="M31" s="10" t="n"/>
      <c r="N31" s="10" t="n"/>
      <c r="O31" s="10" t="n"/>
      <c r="P31" s="9" t="n"/>
      <c r="Q31" s="10" t="n"/>
      <c r="R31" s="9" t="n"/>
      <c r="S31" s="9" t="n"/>
      <c r="T31" s="10" t="n"/>
      <c r="U31" s="11">
        <f>IF(COUNTA(A31:T31)=0,"",IF(COUNTBLANK(A31)+COUNTBLANK(B31)+COUNTBLANK(C31)+COUNTBLANK(D31)+COUNTBLANK(E31)+COUNTBLANK(H31)+COUNTBLANK(I31)+COUNTBLANK(K31)+COUNTBLANK(P31)+COUNTBLANK(R31)+COUNTBLANK(S31)&gt;0,"eksik zorunlu alan var",IF(AND(K31="tutuldu",COUNTBLANK(L31)&gt;0),"tur_video bos",IF(AND(K31="hic_cikmadi",COUNTBLANK(L31)=0),"hic_cikmadi ama tur yazili",IF(AND(R31="evet",K31="tutuldu"),"TAMAM - negatif cikarimina uygun","TAMAM")))))</f>
        <v/>
      </c>
    </row>
    <row r="32">
      <c r="A32" s="9" t="n"/>
      <c r="B32" s="9" t="n"/>
      <c r="C32" s="9" t="n"/>
      <c r="D32" s="9" t="n"/>
      <c r="E32" s="9" t="n"/>
      <c r="F32" s="10" t="n"/>
      <c r="G32" s="10" t="n"/>
      <c r="H32" s="9" t="n"/>
      <c r="I32" s="9" t="n"/>
      <c r="J32" s="10" t="n"/>
      <c r="K32" s="9" t="n"/>
      <c r="L32" s="9" t="n"/>
      <c r="M32" s="10" t="n"/>
      <c r="N32" s="10" t="n"/>
      <c r="O32" s="10" t="n"/>
      <c r="P32" s="9" t="n"/>
      <c r="Q32" s="10" t="n"/>
      <c r="R32" s="9" t="n"/>
      <c r="S32" s="9" t="n"/>
      <c r="T32" s="10" t="n"/>
      <c r="U32" s="11">
        <f>IF(COUNTA(A32:T32)=0,"",IF(COUNTBLANK(A32)+COUNTBLANK(B32)+COUNTBLANK(C32)+COUNTBLANK(D32)+COUNTBLANK(E32)+COUNTBLANK(H32)+COUNTBLANK(I32)+COUNTBLANK(K32)+COUNTBLANK(P32)+COUNTBLANK(R32)+COUNTBLANK(S32)&gt;0,"eksik zorunlu alan var",IF(AND(K32="tutuldu",COUNTBLANK(L32)&gt;0),"tur_video bos",IF(AND(K32="hic_cikmadi",COUNTBLANK(L32)=0),"hic_cikmadi ama tur yazili",IF(AND(R32="evet",K32="tutuldu"),"TAMAM - negatif cikarimina uygun","TAMAM")))))</f>
        <v/>
      </c>
    </row>
    <row r="33">
      <c r="A33" s="9" t="n"/>
      <c r="B33" s="9" t="n"/>
      <c r="C33" s="9" t="n"/>
      <c r="D33" s="9" t="n"/>
      <c r="E33" s="9" t="n"/>
      <c r="F33" s="10" t="n"/>
      <c r="G33" s="10" t="n"/>
      <c r="H33" s="9" t="n"/>
      <c r="I33" s="9" t="n"/>
      <c r="J33" s="10" t="n"/>
      <c r="K33" s="9" t="n"/>
      <c r="L33" s="9" t="n"/>
      <c r="M33" s="10" t="n"/>
      <c r="N33" s="10" t="n"/>
      <c r="O33" s="10" t="n"/>
      <c r="P33" s="9" t="n"/>
      <c r="Q33" s="10" t="n"/>
      <c r="R33" s="9" t="n"/>
      <c r="S33" s="9" t="n"/>
      <c r="T33" s="10" t="n"/>
      <c r="U33" s="11">
        <f>IF(COUNTA(A33:T33)=0,"",IF(COUNTBLANK(A33)+COUNTBLANK(B33)+COUNTBLANK(C33)+COUNTBLANK(D33)+COUNTBLANK(E33)+COUNTBLANK(H33)+COUNTBLANK(I33)+COUNTBLANK(K33)+COUNTBLANK(P33)+COUNTBLANK(R33)+COUNTBLANK(S33)&gt;0,"eksik zorunlu alan var",IF(AND(K33="tutuldu",COUNTBLANK(L33)&gt;0),"tur_video bos",IF(AND(K33="hic_cikmadi",COUNTBLANK(L33)=0),"hic_cikmadi ama tur yazili",IF(AND(R33="evet",K33="tutuldu"),"TAMAM - negatif cikarimina uygun","TAMAM")))))</f>
        <v/>
      </c>
    </row>
    <row r="34">
      <c r="A34" s="9" t="n"/>
      <c r="B34" s="9" t="n"/>
      <c r="C34" s="9" t="n"/>
      <c r="D34" s="9" t="n"/>
      <c r="E34" s="9" t="n"/>
      <c r="F34" s="10" t="n"/>
      <c r="G34" s="10" t="n"/>
      <c r="H34" s="9" t="n"/>
      <c r="I34" s="9" t="n"/>
      <c r="J34" s="10" t="n"/>
      <c r="K34" s="9" t="n"/>
      <c r="L34" s="9" t="n"/>
      <c r="M34" s="10" t="n"/>
      <c r="N34" s="10" t="n"/>
      <c r="O34" s="10" t="n"/>
      <c r="P34" s="9" t="n"/>
      <c r="Q34" s="10" t="n"/>
      <c r="R34" s="9" t="n"/>
      <c r="S34" s="9" t="n"/>
      <c r="T34" s="10" t="n"/>
      <c r="U34" s="11">
        <f>IF(COUNTA(A34:T34)=0,"",IF(COUNTBLANK(A34)+COUNTBLANK(B34)+COUNTBLANK(C34)+COUNTBLANK(D34)+COUNTBLANK(E34)+COUNTBLANK(H34)+COUNTBLANK(I34)+COUNTBLANK(K34)+COUNTBLANK(P34)+COUNTBLANK(R34)+COUNTBLANK(S34)&gt;0,"eksik zorunlu alan var",IF(AND(K34="tutuldu",COUNTBLANK(L34)&gt;0),"tur_video bos",IF(AND(K34="hic_cikmadi",COUNTBLANK(L34)=0),"hic_cikmadi ama tur yazili",IF(AND(R34="evet",K34="tutuldu"),"TAMAM - negatif cikarimina uygun","TAMAM")))))</f>
        <v/>
      </c>
    </row>
    <row r="35">
      <c r="A35" s="9" t="n"/>
      <c r="B35" s="9" t="n"/>
      <c r="C35" s="9" t="n"/>
      <c r="D35" s="9" t="n"/>
      <c r="E35" s="9" t="n"/>
      <c r="F35" s="10" t="n"/>
      <c r="G35" s="10" t="n"/>
      <c r="H35" s="9" t="n"/>
      <c r="I35" s="9" t="n"/>
      <c r="J35" s="10" t="n"/>
      <c r="K35" s="9" t="n"/>
      <c r="L35" s="9" t="n"/>
      <c r="M35" s="10" t="n"/>
      <c r="N35" s="10" t="n"/>
      <c r="O35" s="10" t="n"/>
      <c r="P35" s="9" t="n"/>
      <c r="Q35" s="10" t="n"/>
      <c r="R35" s="9" t="n"/>
      <c r="S35" s="9" t="n"/>
      <c r="T35" s="10" t="n"/>
      <c r="U35" s="11">
        <f>IF(COUNTA(A35:T35)=0,"",IF(COUNTBLANK(A35)+COUNTBLANK(B35)+COUNTBLANK(C35)+COUNTBLANK(D35)+COUNTBLANK(E35)+COUNTBLANK(H35)+COUNTBLANK(I35)+COUNTBLANK(K35)+COUNTBLANK(P35)+COUNTBLANK(R35)+COUNTBLANK(S35)&gt;0,"eksik zorunlu alan var",IF(AND(K35="tutuldu",COUNTBLANK(L35)&gt;0),"tur_video bos",IF(AND(K35="hic_cikmadi",COUNTBLANK(L35)=0),"hic_cikmadi ama tur yazili",IF(AND(R35="evet",K35="tutuldu"),"TAMAM - negatif cikarimina uygun","TAMAM")))))</f>
        <v/>
      </c>
    </row>
    <row r="36">
      <c r="A36" s="9" t="n"/>
      <c r="B36" s="9" t="n"/>
      <c r="C36" s="9" t="n"/>
      <c r="D36" s="9" t="n"/>
      <c r="E36" s="9" t="n"/>
      <c r="F36" s="10" t="n"/>
      <c r="G36" s="10" t="n"/>
      <c r="H36" s="9" t="n"/>
      <c r="I36" s="9" t="n"/>
      <c r="J36" s="10" t="n"/>
      <c r="K36" s="9" t="n"/>
      <c r="L36" s="9" t="n"/>
      <c r="M36" s="10" t="n"/>
      <c r="N36" s="10" t="n"/>
      <c r="O36" s="10" t="n"/>
      <c r="P36" s="9" t="n"/>
      <c r="Q36" s="10" t="n"/>
      <c r="R36" s="9" t="n"/>
      <c r="S36" s="9" t="n"/>
      <c r="T36" s="10" t="n"/>
      <c r="U36" s="11">
        <f>IF(COUNTA(A36:T36)=0,"",IF(COUNTBLANK(A36)+COUNTBLANK(B36)+COUNTBLANK(C36)+COUNTBLANK(D36)+COUNTBLANK(E36)+COUNTBLANK(H36)+COUNTBLANK(I36)+COUNTBLANK(K36)+COUNTBLANK(P36)+COUNTBLANK(R36)+COUNTBLANK(S36)&gt;0,"eksik zorunlu alan var",IF(AND(K36="tutuldu",COUNTBLANK(L36)&gt;0),"tur_video bos",IF(AND(K36="hic_cikmadi",COUNTBLANK(L36)=0),"hic_cikmadi ama tur yazili",IF(AND(R36="evet",K36="tutuldu"),"TAMAM - negatif cikarimina uygun","TAMAM")))))</f>
        <v/>
      </c>
    </row>
    <row r="37">
      <c r="A37" s="9" t="n"/>
      <c r="B37" s="9" t="n"/>
      <c r="C37" s="9" t="n"/>
      <c r="D37" s="9" t="n"/>
      <c r="E37" s="9" t="n"/>
      <c r="F37" s="10" t="n"/>
      <c r="G37" s="10" t="n"/>
      <c r="H37" s="9" t="n"/>
      <c r="I37" s="9" t="n"/>
      <c r="J37" s="10" t="n"/>
      <c r="K37" s="9" t="n"/>
      <c r="L37" s="9" t="n"/>
      <c r="M37" s="10" t="n"/>
      <c r="N37" s="10" t="n"/>
      <c r="O37" s="10" t="n"/>
      <c r="P37" s="9" t="n"/>
      <c r="Q37" s="10" t="n"/>
      <c r="R37" s="9" t="n"/>
      <c r="S37" s="9" t="n"/>
      <c r="T37" s="10" t="n"/>
      <c r="U37" s="11">
        <f>IF(COUNTA(A37:T37)=0,"",IF(COUNTBLANK(A37)+COUNTBLANK(B37)+COUNTBLANK(C37)+COUNTBLANK(D37)+COUNTBLANK(E37)+COUNTBLANK(H37)+COUNTBLANK(I37)+COUNTBLANK(K37)+COUNTBLANK(P37)+COUNTBLANK(R37)+COUNTBLANK(S37)&gt;0,"eksik zorunlu alan var",IF(AND(K37="tutuldu",COUNTBLANK(L37)&gt;0),"tur_video bos",IF(AND(K37="hic_cikmadi",COUNTBLANK(L37)=0),"hic_cikmadi ama tur yazili",IF(AND(R37="evet",K37="tutuldu"),"TAMAM - negatif cikarimina uygun","TAMAM")))))</f>
        <v/>
      </c>
    </row>
    <row r="38">
      <c r="A38" s="9" t="n"/>
      <c r="B38" s="9" t="n"/>
      <c r="C38" s="9" t="n"/>
      <c r="D38" s="9" t="n"/>
      <c r="E38" s="9" t="n"/>
      <c r="F38" s="10" t="n"/>
      <c r="G38" s="10" t="n"/>
      <c r="H38" s="9" t="n"/>
      <c r="I38" s="9" t="n"/>
      <c r="J38" s="10" t="n"/>
      <c r="K38" s="9" t="n"/>
      <c r="L38" s="9" t="n"/>
      <c r="M38" s="10" t="n"/>
      <c r="N38" s="10" t="n"/>
      <c r="O38" s="10" t="n"/>
      <c r="P38" s="9" t="n"/>
      <c r="Q38" s="10" t="n"/>
      <c r="R38" s="9" t="n"/>
      <c r="S38" s="9" t="n"/>
      <c r="T38" s="10" t="n"/>
      <c r="U38" s="11">
        <f>IF(COUNTA(A38:T38)=0,"",IF(COUNTBLANK(A38)+COUNTBLANK(B38)+COUNTBLANK(C38)+COUNTBLANK(D38)+COUNTBLANK(E38)+COUNTBLANK(H38)+COUNTBLANK(I38)+COUNTBLANK(K38)+COUNTBLANK(P38)+COUNTBLANK(R38)+COUNTBLANK(S38)&gt;0,"eksik zorunlu alan var",IF(AND(K38="tutuldu",COUNTBLANK(L38)&gt;0),"tur_video bos",IF(AND(K38="hic_cikmadi",COUNTBLANK(L38)=0),"hic_cikmadi ama tur yazili",IF(AND(R38="evet",K38="tutuldu"),"TAMAM - negatif cikarimina uygun","TAMAM")))))</f>
        <v/>
      </c>
    </row>
    <row r="39">
      <c r="A39" s="9" t="n"/>
      <c r="B39" s="9" t="n"/>
      <c r="C39" s="9" t="n"/>
      <c r="D39" s="9" t="n"/>
      <c r="E39" s="9" t="n"/>
      <c r="F39" s="10" t="n"/>
      <c r="G39" s="10" t="n"/>
      <c r="H39" s="9" t="n"/>
      <c r="I39" s="9" t="n"/>
      <c r="J39" s="10" t="n"/>
      <c r="K39" s="9" t="n"/>
      <c r="L39" s="9" t="n"/>
      <c r="M39" s="10" t="n"/>
      <c r="N39" s="10" t="n"/>
      <c r="O39" s="10" t="n"/>
      <c r="P39" s="9" t="n"/>
      <c r="Q39" s="10" t="n"/>
      <c r="R39" s="9" t="n"/>
      <c r="S39" s="9" t="n"/>
      <c r="T39" s="10" t="n"/>
      <c r="U39" s="11">
        <f>IF(COUNTA(A39:T39)=0,"",IF(COUNTBLANK(A39)+COUNTBLANK(B39)+COUNTBLANK(C39)+COUNTBLANK(D39)+COUNTBLANK(E39)+COUNTBLANK(H39)+COUNTBLANK(I39)+COUNTBLANK(K39)+COUNTBLANK(P39)+COUNTBLANK(R39)+COUNTBLANK(S39)&gt;0,"eksik zorunlu alan var",IF(AND(K39="tutuldu",COUNTBLANK(L39)&gt;0),"tur_video bos",IF(AND(K39="hic_cikmadi",COUNTBLANK(L39)=0),"hic_cikmadi ama tur yazili",IF(AND(R39="evet",K39="tutuldu"),"TAMAM - negatif cikarimina uygun","TAMAM")))))</f>
        <v/>
      </c>
    </row>
    <row r="40">
      <c r="A40" s="9" t="n"/>
      <c r="B40" s="9" t="n"/>
      <c r="C40" s="9" t="n"/>
      <c r="D40" s="9" t="n"/>
      <c r="E40" s="9" t="n"/>
      <c r="F40" s="10" t="n"/>
      <c r="G40" s="10" t="n"/>
      <c r="H40" s="9" t="n"/>
      <c r="I40" s="9" t="n"/>
      <c r="J40" s="10" t="n"/>
      <c r="K40" s="9" t="n"/>
      <c r="L40" s="9" t="n"/>
      <c r="M40" s="10" t="n"/>
      <c r="N40" s="10" t="n"/>
      <c r="O40" s="10" t="n"/>
      <c r="P40" s="9" t="n"/>
      <c r="Q40" s="10" t="n"/>
      <c r="R40" s="9" t="n"/>
      <c r="S40" s="9" t="n"/>
      <c r="T40" s="10" t="n"/>
      <c r="U40" s="11">
        <f>IF(COUNTA(A40:T40)=0,"",IF(COUNTBLANK(A40)+COUNTBLANK(B40)+COUNTBLANK(C40)+COUNTBLANK(D40)+COUNTBLANK(E40)+COUNTBLANK(H40)+COUNTBLANK(I40)+COUNTBLANK(K40)+COUNTBLANK(P40)+COUNTBLANK(R40)+COUNTBLANK(S40)&gt;0,"eksik zorunlu alan var",IF(AND(K40="tutuldu",COUNTBLANK(L40)&gt;0),"tur_video bos",IF(AND(K40="hic_cikmadi",COUNTBLANK(L40)=0),"hic_cikmadi ama tur yazili",IF(AND(R40="evet",K40="tutuldu"),"TAMAM - negatif cikarimina uygun","TAMAM")))))</f>
        <v/>
      </c>
    </row>
    <row r="41">
      <c r="A41" s="9" t="n"/>
      <c r="B41" s="9" t="n"/>
      <c r="C41" s="9" t="n"/>
      <c r="D41" s="9" t="n"/>
      <c r="E41" s="9" t="n"/>
      <c r="F41" s="10" t="n"/>
      <c r="G41" s="10" t="n"/>
      <c r="H41" s="9" t="n"/>
      <c r="I41" s="9" t="n"/>
      <c r="J41" s="10" t="n"/>
      <c r="K41" s="9" t="n"/>
      <c r="L41" s="9" t="n"/>
      <c r="M41" s="10" t="n"/>
      <c r="N41" s="10" t="n"/>
      <c r="O41" s="10" t="n"/>
      <c r="P41" s="9" t="n"/>
      <c r="Q41" s="10" t="n"/>
      <c r="R41" s="9" t="n"/>
      <c r="S41" s="9" t="n"/>
      <c r="T41" s="10" t="n"/>
      <c r="U41" s="11">
        <f>IF(COUNTA(A41:T41)=0,"",IF(COUNTBLANK(A41)+COUNTBLANK(B41)+COUNTBLANK(C41)+COUNTBLANK(D41)+COUNTBLANK(E41)+COUNTBLANK(H41)+COUNTBLANK(I41)+COUNTBLANK(K41)+COUNTBLANK(P41)+COUNTBLANK(R41)+COUNTBLANK(S41)&gt;0,"eksik zorunlu alan var",IF(AND(K41="tutuldu",COUNTBLANK(L41)&gt;0),"tur_video bos",IF(AND(K41="hic_cikmadi",COUNTBLANK(L41)=0),"hic_cikmadi ama tur yazili",IF(AND(R41="evet",K41="tutuldu"),"TAMAM - negatif cikarimina uygun","TAMAM")))))</f>
        <v/>
      </c>
    </row>
    <row r="42">
      <c r="A42" s="9" t="n"/>
      <c r="B42" s="9" t="n"/>
      <c r="C42" s="9" t="n"/>
      <c r="D42" s="9" t="n"/>
      <c r="E42" s="9" t="n"/>
      <c r="F42" s="10" t="n"/>
      <c r="G42" s="10" t="n"/>
      <c r="H42" s="9" t="n"/>
      <c r="I42" s="9" t="n"/>
      <c r="J42" s="10" t="n"/>
      <c r="K42" s="9" t="n"/>
      <c r="L42" s="9" t="n"/>
      <c r="M42" s="10" t="n"/>
      <c r="N42" s="10" t="n"/>
      <c r="O42" s="10" t="n"/>
      <c r="P42" s="9" t="n"/>
      <c r="Q42" s="10" t="n"/>
      <c r="R42" s="9" t="n"/>
      <c r="S42" s="9" t="n"/>
      <c r="T42" s="10" t="n"/>
      <c r="U42" s="11">
        <f>IF(COUNTA(A42:T42)=0,"",IF(COUNTBLANK(A42)+COUNTBLANK(B42)+COUNTBLANK(C42)+COUNTBLANK(D42)+COUNTBLANK(E42)+COUNTBLANK(H42)+COUNTBLANK(I42)+COUNTBLANK(K42)+COUNTBLANK(P42)+COUNTBLANK(R42)+COUNTBLANK(S42)&gt;0,"eksik zorunlu alan var",IF(AND(K42="tutuldu",COUNTBLANK(L42)&gt;0),"tur_video bos",IF(AND(K42="hic_cikmadi",COUNTBLANK(L42)=0),"hic_cikmadi ama tur yazili",IF(AND(R42="evet",K42="tutuldu"),"TAMAM - negatif cikarimina uygun","TAMAM")))))</f>
        <v/>
      </c>
    </row>
    <row r="43">
      <c r="A43" s="9" t="n"/>
      <c r="B43" s="9" t="n"/>
      <c r="C43" s="9" t="n"/>
      <c r="D43" s="9" t="n"/>
      <c r="E43" s="9" t="n"/>
      <c r="F43" s="10" t="n"/>
      <c r="G43" s="10" t="n"/>
      <c r="H43" s="9" t="n"/>
      <c r="I43" s="9" t="n"/>
      <c r="J43" s="10" t="n"/>
      <c r="K43" s="9" t="n"/>
      <c r="L43" s="9" t="n"/>
      <c r="M43" s="10" t="n"/>
      <c r="N43" s="10" t="n"/>
      <c r="O43" s="10" t="n"/>
      <c r="P43" s="9" t="n"/>
      <c r="Q43" s="10" t="n"/>
      <c r="R43" s="9" t="n"/>
      <c r="S43" s="9" t="n"/>
      <c r="T43" s="10" t="n"/>
      <c r="U43" s="11">
        <f>IF(COUNTA(A43:T43)=0,"",IF(COUNTBLANK(A43)+COUNTBLANK(B43)+COUNTBLANK(C43)+COUNTBLANK(D43)+COUNTBLANK(E43)+COUNTBLANK(H43)+COUNTBLANK(I43)+COUNTBLANK(K43)+COUNTBLANK(P43)+COUNTBLANK(R43)+COUNTBLANK(S43)&gt;0,"eksik zorunlu alan var",IF(AND(K43="tutuldu",COUNTBLANK(L43)&gt;0),"tur_video bos",IF(AND(K43="hic_cikmadi",COUNTBLANK(L43)=0),"hic_cikmadi ama tur yazili",IF(AND(R43="evet",K43="tutuldu"),"TAMAM - negatif cikarimina uygun","TAMAM")))))</f>
        <v/>
      </c>
    </row>
    <row r="44">
      <c r="A44" s="9" t="n"/>
      <c r="B44" s="9" t="n"/>
      <c r="C44" s="9" t="n"/>
      <c r="D44" s="9" t="n"/>
      <c r="E44" s="9" t="n"/>
      <c r="F44" s="10" t="n"/>
      <c r="G44" s="10" t="n"/>
      <c r="H44" s="9" t="n"/>
      <c r="I44" s="9" t="n"/>
      <c r="J44" s="10" t="n"/>
      <c r="K44" s="9" t="n"/>
      <c r="L44" s="9" t="n"/>
      <c r="M44" s="10" t="n"/>
      <c r="N44" s="10" t="n"/>
      <c r="O44" s="10" t="n"/>
      <c r="P44" s="9" t="n"/>
      <c r="Q44" s="10" t="n"/>
      <c r="R44" s="9" t="n"/>
      <c r="S44" s="9" t="n"/>
      <c r="T44" s="10" t="n"/>
      <c r="U44" s="11">
        <f>IF(COUNTA(A44:T44)=0,"",IF(COUNTBLANK(A44)+COUNTBLANK(B44)+COUNTBLANK(C44)+COUNTBLANK(D44)+COUNTBLANK(E44)+COUNTBLANK(H44)+COUNTBLANK(I44)+COUNTBLANK(K44)+COUNTBLANK(P44)+COUNTBLANK(R44)+COUNTBLANK(S44)&gt;0,"eksik zorunlu alan var",IF(AND(K44="tutuldu",COUNTBLANK(L44)&gt;0),"tur_video bos",IF(AND(K44="hic_cikmadi",COUNTBLANK(L44)=0),"hic_cikmadi ama tur yazili",IF(AND(R44="evet",K44="tutuldu"),"TAMAM - negatif cikarimina uygun","TAMAM")))))</f>
        <v/>
      </c>
    </row>
    <row r="45">
      <c r="A45" s="9" t="n"/>
      <c r="B45" s="9" t="n"/>
      <c r="C45" s="9" t="n"/>
      <c r="D45" s="9" t="n"/>
      <c r="E45" s="9" t="n"/>
      <c r="F45" s="10" t="n"/>
      <c r="G45" s="10" t="n"/>
      <c r="H45" s="9" t="n"/>
      <c r="I45" s="9" t="n"/>
      <c r="J45" s="10" t="n"/>
      <c r="K45" s="9" t="n"/>
      <c r="L45" s="9" t="n"/>
      <c r="M45" s="10" t="n"/>
      <c r="N45" s="10" t="n"/>
      <c r="O45" s="10" t="n"/>
      <c r="P45" s="9" t="n"/>
      <c r="Q45" s="10" t="n"/>
      <c r="R45" s="9" t="n"/>
      <c r="S45" s="9" t="n"/>
      <c r="T45" s="10" t="n"/>
      <c r="U45" s="11">
        <f>IF(COUNTA(A45:T45)=0,"",IF(COUNTBLANK(A45)+COUNTBLANK(B45)+COUNTBLANK(C45)+COUNTBLANK(D45)+COUNTBLANK(E45)+COUNTBLANK(H45)+COUNTBLANK(I45)+COUNTBLANK(K45)+COUNTBLANK(P45)+COUNTBLANK(R45)+COUNTBLANK(S45)&gt;0,"eksik zorunlu alan var",IF(AND(K45="tutuldu",COUNTBLANK(L45)&gt;0),"tur_video bos",IF(AND(K45="hic_cikmadi",COUNTBLANK(L45)=0),"hic_cikmadi ama tur yazili",IF(AND(R45="evet",K45="tutuldu"),"TAMAM - negatif cikarimina uygun","TAMAM")))))</f>
        <v/>
      </c>
    </row>
    <row r="46">
      <c r="A46" s="9" t="n"/>
      <c r="B46" s="9" t="n"/>
      <c r="C46" s="9" t="n"/>
      <c r="D46" s="9" t="n"/>
      <c r="E46" s="9" t="n"/>
      <c r="F46" s="10" t="n"/>
      <c r="G46" s="10" t="n"/>
      <c r="H46" s="9" t="n"/>
      <c r="I46" s="9" t="n"/>
      <c r="J46" s="10" t="n"/>
      <c r="K46" s="9" t="n"/>
      <c r="L46" s="9" t="n"/>
      <c r="M46" s="10" t="n"/>
      <c r="N46" s="10" t="n"/>
      <c r="O46" s="10" t="n"/>
      <c r="P46" s="9" t="n"/>
      <c r="Q46" s="10" t="n"/>
      <c r="R46" s="9" t="n"/>
      <c r="S46" s="9" t="n"/>
      <c r="T46" s="10" t="n"/>
      <c r="U46" s="11">
        <f>IF(COUNTA(A46:T46)=0,"",IF(COUNTBLANK(A46)+COUNTBLANK(B46)+COUNTBLANK(C46)+COUNTBLANK(D46)+COUNTBLANK(E46)+COUNTBLANK(H46)+COUNTBLANK(I46)+COUNTBLANK(K46)+COUNTBLANK(P46)+COUNTBLANK(R46)+COUNTBLANK(S46)&gt;0,"eksik zorunlu alan var",IF(AND(K46="tutuldu",COUNTBLANK(L46)&gt;0),"tur_video bos",IF(AND(K46="hic_cikmadi",COUNTBLANK(L46)=0),"hic_cikmadi ama tur yazili",IF(AND(R46="evet",K46="tutuldu"),"TAMAM - negatif cikarimina uygun","TAMAM")))))</f>
        <v/>
      </c>
    </row>
    <row r="47">
      <c r="A47" s="9" t="n"/>
      <c r="B47" s="9" t="n"/>
      <c r="C47" s="9" t="n"/>
      <c r="D47" s="9" t="n"/>
      <c r="E47" s="9" t="n"/>
      <c r="F47" s="10" t="n"/>
      <c r="G47" s="10" t="n"/>
      <c r="H47" s="9" t="n"/>
      <c r="I47" s="9" t="n"/>
      <c r="J47" s="10" t="n"/>
      <c r="K47" s="9" t="n"/>
      <c r="L47" s="9" t="n"/>
      <c r="M47" s="10" t="n"/>
      <c r="N47" s="10" t="n"/>
      <c r="O47" s="10" t="n"/>
      <c r="P47" s="9" t="n"/>
      <c r="Q47" s="10" t="n"/>
      <c r="R47" s="9" t="n"/>
      <c r="S47" s="9" t="n"/>
      <c r="T47" s="10" t="n"/>
      <c r="U47" s="11">
        <f>IF(COUNTA(A47:T47)=0,"",IF(COUNTBLANK(A47)+COUNTBLANK(B47)+COUNTBLANK(C47)+COUNTBLANK(D47)+COUNTBLANK(E47)+COUNTBLANK(H47)+COUNTBLANK(I47)+COUNTBLANK(K47)+COUNTBLANK(P47)+COUNTBLANK(R47)+COUNTBLANK(S47)&gt;0,"eksik zorunlu alan var",IF(AND(K47="tutuldu",COUNTBLANK(L47)&gt;0),"tur_video bos",IF(AND(K47="hic_cikmadi",COUNTBLANK(L47)=0),"hic_cikmadi ama tur yazili",IF(AND(R47="evet",K47="tutuldu"),"TAMAM - negatif cikarimina uygun","TAMAM")))))</f>
        <v/>
      </c>
    </row>
    <row r="48">
      <c r="A48" s="9" t="n"/>
      <c r="B48" s="9" t="n"/>
      <c r="C48" s="9" t="n"/>
      <c r="D48" s="9" t="n"/>
      <c r="E48" s="9" t="n"/>
      <c r="F48" s="10" t="n"/>
      <c r="G48" s="10" t="n"/>
      <c r="H48" s="9" t="n"/>
      <c r="I48" s="9" t="n"/>
      <c r="J48" s="10" t="n"/>
      <c r="K48" s="9" t="n"/>
      <c r="L48" s="9" t="n"/>
      <c r="M48" s="10" t="n"/>
      <c r="N48" s="10" t="n"/>
      <c r="O48" s="10" t="n"/>
      <c r="P48" s="9" t="n"/>
      <c r="Q48" s="10" t="n"/>
      <c r="R48" s="9" t="n"/>
      <c r="S48" s="9" t="n"/>
      <c r="T48" s="10" t="n"/>
      <c r="U48" s="11">
        <f>IF(COUNTA(A48:T48)=0,"",IF(COUNTBLANK(A48)+COUNTBLANK(B48)+COUNTBLANK(C48)+COUNTBLANK(D48)+COUNTBLANK(E48)+COUNTBLANK(H48)+COUNTBLANK(I48)+COUNTBLANK(K48)+COUNTBLANK(P48)+COUNTBLANK(R48)+COUNTBLANK(S48)&gt;0,"eksik zorunlu alan var",IF(AND(K48="tutuldu",COUNTBLANK(L48)&gt;0),"tur_video bos",IF(AND(K48="hic_cikmadi",COUNTBLANK(L48)=0),"hic_cikmadi ama tur yazili",IF(AND(R48="evet",K48="tutuldu"),"TAMAM - negatif cikarimina uygun","TAMAM")))))</f>
        <v/>
      </c>
    </row>
    <row r="49">
      <c r="A49" s="9" t="n"/>
      <c r="B49" s="9" t="n"/>
      <c r="C49" s="9" t="n"/>
      <c r="D49" s="9" t="n"/>
      <c r="E49" s="9" t="n"/>
      <c r="F49" s="10" t="n"/>
      <c r="G49" s="10" t="n"/>
      <c r="H49" s="9" t="n"/>
      <c r="I49" s="9" t="n"/>
      <c r="J49" s="10" t="n"/>
      <c r="K49" s="9" t="n"/>
      <c r="L49" s="9" t="n"/>
      <c r="M49" s="10" t="n"/>
      <c r="N49" s="10" t="n"/>
      <c r="O49" s="10" t="n"/>
      <c r="P49" s="9" t="n"/>
      <c r="Q49" s="10" t="n"/>
      <c r="R49" s="9" t="n"/>
      <c r="S49" s="9" t="n"/>
      <c r="T49" s="10" t="n"/>
      <c r="U49" s="11">
        <f>IF(COUNTA(A49:T49)=0,"",IF(COUNTBLANK(A49)+COUNTBLANK(B49)+COUNTBLANK(C49)+COUNTBLANK(D49)+COUNTBLANK(E49)+COUNTBLANK(H49)+COUNTBLANK(I49)+COUNTBLANK(K49)+COUNTBLANK(P49)+COUNTBLANK(R49)+COUNTBLANK(S49)&gt;0,"eksik zorunlu alan var",IF(AND(K49="tutuldu",COUNTBLANK(L49)&gt;0),"tur_video bos",IF(AND(K49="hic_cikmadi",COUNTBLANK(L49)=0),"hic_cikmadi ama tur yazili",IF(AND(R49="evet",K49="tutuldu"),"TAMAM - negatif cikarimina uygun","TAMAM")))))</f>
        <v/>
      </c>
    </row>
    <row r="50">
      <c r="A50" s="9" t="n"/>
      <c r="B50" s="9" t="n"/>
      <c r="C50" s="9" t="n"/>
      <c r="D50" s="9" t="n"/>
      <c r="E50" s="9" t="n"/>
      <c r="F50" s="10" t="n"/>
      <c r="G50" s="10" t="n"/>
      <c r="H50" s="9" t="n"/>
      <c r="I50" s="9" t="n"/>
      <c r="J50" s="10" t="n"/>
      <c r="K50" s="9" t="n"/>
      <c r="L50" s="9" t="n"/>
      <c r="M50" s="10" t="n"/>
      <c r="N50" s="10" t="n"/>
      <c r="O50" s="10" t="n"/>
      <c r="P50" s="9" t="n"/>
      <c r="Q50" s="10" t="n"/>
      <c r="R50" s="9" t="n"/>
      <c r="S50" s="9" t="n"/>
      <c r="T50" s="10" t="n"/>
      <c r="U50" s="11">
        <f>IF(COUNTA(A50:T50)=0,"",IF(COUNTBLANK(A50)+COUNTBLANK(B50)+COUNTBLANK(C50)+COUNTBLANK(D50)+COUNTBLANK(E50)+COUNTBLANK(H50)+COUNTBLANK(I50)+COUNTBLANK(K50)+COUNTBLANK(P50)+COUNTBLANK(R50)+COUNTBLANK(S50)&gt;0,"eksik zorunlu alan var",IF(AND(K50="tutuldu",COUNTBLANK(L50)&gt;0),"tur_video bos",IF(AND(K50="hic_cikmadi",COUNTBLANK(L50)=0),"hic_cikmadi ama tur yazili",IF(AND(R50="evet",K50="tutuldu"),"TAMAM - negatif cikarimina uygun","TAMAM")))))</f>
        <v/>
      </c>
    </row>
    <row r="51">
      <c r="A51" s="9" t="n"/>
      <c r="B51" s="9" t="n"/>
      <c r="C51" s="9" t="n"/>
      <c r="D51" s="9" t="n"/>
      <c r="E51" s="9" t="n"/>
      <c r="F51" s="10" t="n"/>
      <c r="G51" s="10" t="n"/>
      <c r="H51" s="9" t="n"/>
      <c r="I51" s="9" t="n"/>
      <c r="J51" s="10" t="n"/>
      <c r="K51" s="9" t="n"/>
      <c r="L51" s="9" t="n"/>
      <c r="M51" s="10" t="n"/>
      <c r="N51" s="10" t="n"/>
      <c r="O51" s="10" t="n"/>
      <c r="P51" s="9" t="n"/>
      <c r="Q51" s="10" t="n"/>
      <c r="R51" s="9" t="n"/>
      <c r="S51" s="9" t="n"/>
      <c r="T51" s="10" t="n"/>
      <c r="U51" s="11">
        <f>IF(COUNTA(A51:T51)=0,"",IF(COUNTBLANK(A51)+COUNTBLANK(B51)+COUNTBLANK(C51)+COUNTBLANK(D51)+COUNTBLANK(E51)+COUNTBLANK(H51)+COUNTBLANK(I51)+COUNTBLANK(K51)+COUNTBLANK(P51)+COUNTBLANK(R51)+COUNTBLANK(S51)&gt;0,"eksik zorunlu alan var",IF(AND(K51="tutuldu",COUNTBLANK(L51)&gt;0),"tur_video bos",IF(AND(K51="hic_cikmadi",COUNTBLANK(L51)=0),"hic_cikmadi ama tur yazili",IF(AND(R51="evet",K51="tutuldu"),"TAMAM - negatif cikarimina uygun","TAMAM")))))</f>
        <v/>
      </c>
    </row>
    <row r="52">
      <c r="A52" s="9" t="n"/>
      <c r="B52" s="9" t="n"/>
      <c r="C52" s="9" t="n"/>
      <c r="D52" s="9" t="n"/>
      <c r="E52" s="9" t="n"/>
      <c r="F52" s="10" t="n"/>
      <c r="G52" s="10" t="n"/>
      <c r="H52" s="9" t="n"/>
      <c r="I52" s="9" t="n"/>
      <c r="J52" s="10" t="n"/>
      <c r="K52" s="9" t="n"/>
      <c r="L52" s="9" t="n"/>
      <c r="M52" s="10" t="n"/>
      <c r="N52" s="10" t="n"/>
      <c r="O52" s="10" t="n"/>
      <c r="P52" s="9" t="n"/>
      <c r="Q52" s="10" t="n"/>
      <c r="R52" s="9" t="n"/>
      <c r="S52" s="9" t="n"/>
      <c r="T52" s="10" t="n"/>
      <c r="U52" s="11">
        <f>IF(COUNTA(A52:T52)=0,"",IF(COUNTBLANK(A52)+COUNTBLANK(B52)+COUNTBLANK(C52)+COUNTBLANK(D52)+COUNTBLANK(E52)+COUNTBLANK(H52)+COUNTBLANK(I52)+COUNTBLANK(K52)+COUNTBLANK(P52)+COUNTBLANK(R52)+COUNTBLANK(S52)&gt;0,"eksik zorunlu alan var",IF(AND(K52="tutuldu",COUNTBLANK(L52)&gt;0),"tur_video bos",IF(AND(K52="hic_cikmadi",COUNTBLANK(L52)=0),"hic_cikmadi ama tur yazili",IF(AND(R52="evet",K52="tutuldu"),"TAMAM - negatif cikarimina uygun","TAMAM")))))</f>
        <v/>
      </c>
    </row>
    <row r="53">
      <c r="A53" s="9" t="n"/>
      <c r="B53" s="9" t="n"/>
      <c r="C53" s="9" t="n"/>
      <c r="D53" s="9" t="n"/>
      <c r="E53" s="9" t="n"/>
      <c r="F53" s="10" t="n"/>
      <c r="G53" s="10" t="n"/>
      <c r="H53" s="9" t="n"/>
      <c r="I53" s="9" t="n"/>
      <c r="J53" s="10" t="n"/>
      <c r="K53" s="9" t="n"/>
      <c r="L53" s="9" t="n"/>
      <c r="M53" s="10" t="n"/>
      <c r="N53" s="10" t="n"/>
      <c r="O53" s="10" t="n"/>
      <c r="P53" s="9" t="n"/>
      <c r="Q53" s="10" t="n"/>
      <c r="R53" s="9" t="n"/>
      <c r="S53" s="9" t="n"/>
      <c r="T53" s="10" t="n"/>
      <c r="U53" s="11">
        <f>IF(COUNTA(A53:T53)=0,"",IF(COUNTBLANK(A53)+COUNTBLANK(B53)+COUNTBLANK(C53)+COUNTBLANK(D53)+COUNTBLANK(E53)+COUNTBLANK(H53)+COUNTBLANK(I53)+COUNTBLANK(K53)+COUNTBLANK(P53)+COUNTBLANK(R53)+COUNTBLANK(S53)&gt;0,"eksik zorunlu alan var",IF(AND(K53="tutuldu",COUNTBLANK(L53)&gt;0),"tur_video bos",IF(AND(K53="hic_cikmadi",COUNTBLANK(L53)=0),"hic_cikmadi ama tur yazili",IF(AND(R53="evet",K53="tutuldu"),"TAMAM - negatif cikarimina uygun","TAMAM")))))</f>
        <v/>
      </c>
    </row>
    <row r="54">
      <c r="A54" s="9" t="n"/>
      <c r="B54" s="9" t="n"/>
      <c r="C54" s="9" t="n"/>
      <c r="D54" s="9" t="n"/>
      <c r="E54" s="9" t="n"/>
      <c r="F54" s="10" t="n"/>
      <c r="G54" s="10" t="n"/>
      <c r="H54" s="9" t="n"/>
      <c r="I54" s="9" t="n"/>
      <c r="J54" s="10" t="n"/>
      <c r="K54" s="9" t="n"/>
      <c r="L54" s="9" t="n"/>
      <c r="M54" s="10" t="n"/>
      <c r="N54" s="10" t="n"/>
      <c r="O54" s="10" t="n"/>
      <c r="P54" s="9" t="n"/>
      <c r="Q54" s="10" t="n"/>
      <c r="R54" s="9" t="n"/>
      <c r="S54" s="9" t="n"/>
      <c r="T54" s="10" t="n"/>
      <c r="U54" s="11">
        <f>IF(COUNTA(A54:T54)=0,"",IF(COUNTBLANK(A54)+COUNTBLANK(B54)+COUNTBLANK(C54)+COUNTBLANK(D54)+COUNTBLANK(E54)+COUNTBLANK(H54)+COUNTBLANK(I54)+COUNTBLANK(K54)+COUNTBLANK(P54)+COUNTBLANK(R54)+COUNTBLANK(S54)&gt;0,"eksik zorunlu alan var",IF(AND(K54="tutuldu",COUNTBLANK(L54)&gt;0),"tur_video bos",IF(AND(K54="hic_cikmadi",COUNTBLANK(L54)=0),"hic_cikmadi ama tur yazili",IF(AND(R54="evet",K54="tutuldu"),"TAMAM - negatif cikarimina uygun","TAMAM")))))</f>
        <v/>
      </c>
    </row>
    <row r="55">
      <c r="A55" s="9" t="n"/>
      <c r="B55" s="9" t="n"/>
      <c r="C55" s="9" t="n"/>
      <c r="D55" s="9" t="n"/>
      <c r="E55" s="9" t="n"/>
      <c r="F55" s="10" t="n"/>
      <c r="G55" s="10" t="n"/>
      <c r="H55" s="9" t="n"/>
      <c r="I55" s="9" t="n"/>
      <c r="J55" s="10" t="n"/>
      <c r="K55" s="9" t="n"/>
      <c r="L55" s="9" t="n"/>
      <c r="M55" s="10" t="n"/>
      <c r="N55" s="10" t="n"/>
      <c r="O55" s="10" t="n"/>
      <c r="P55" s="9" t="n"/>
      <c r="Q55" s="10" t="n"/>
      <c r="R55" s="9" t="n"/>
      <c r="S55" s="9" t="n"/>
      <c r="T55" s="10" t="n"/>
      <c r="U55" s="11">
        <f>IF(COUNTA(A55:T55)=0,"",IF(COUNTBLANK(A55)+COUNTBLANK(B55)+COUNTBLANK(C55)+COUNTBLANK(D55)+COUNTBLANK(E55)+COUNTBLANK(H55)+COUNTBLANK(I55)+COUNTBLANK(K55)+COUNTBLANK(P55)+COUNTBLANK(R55)+COUNTBLANK(S55)&gt;0,"eksik zorunlu alan var",IF(AND(K55="tutuldu",COUNTBLANK(L55)&gt;0),"tur_video bos",IF(AND(K55="hic_cikmadi",COUNTBLANK(L55)=0),"hic_cikmadi ama tur yazili",IF(AND(R55="evet",K55="tutuldu"),"TAMAM - negatif cikarimina uygun","TAMAM")))))</f>
        <v/>
      </c>
    </row>
    <row r="56">
      <c r="A56" s="9" t="n"/>
      <c r="B56" s="9" t="n"/>
      <c r="C56" s="9" t="n"/>
      <c r="D56" s="9" t="n"/>
      <c r="E56" s="9" t="n"/>
      <c r="F56" s="10" t="n"/>
      <c r="G56" s="10" t="n"/>
      <c r="H56" s="9" t="n"/>
      <c r="I56" s="9" t="n"/>
      <c r="J56" s="10" t="n"/>
      <c r="K56" s="9" t="n"/>
      <c r="L56" s="9" t="n"/>
      <c r="M56" s="10" t="n"/>
      <c r="N56" s="10" t="n"/>
      <c r="O56" s="10" t="n"/>
      <c r="P56" s="9" t="n"/>
      <c r="Q56" s="10" t="n"/>
      <c r="R56" s="9" t="n"/>
      <c r="S56" s="9" t="n"/>
      <c r="T56" s="10" t="n"/>
      <c r="U56" s="11">
        <f>IF(COUNTA(A56:T56)=0,"",IF(COUNTBLANK(A56)+COUNTBLANK(B56)+COUNTBLANK(C56)+COUNTBLANK(D56)+COUNTBLANK(E56)+COUNTBLANK(H56)+COUNTBLANK(I56)+COUNTBLANK(K56)+COUNTBLANK(P56)+COUNTBLANK(R56)+COUNTBLANK(S56)&gt;0,"eksik zorunlu alan var",IF(AND(K56="tutuldu",COUNTBLANK(L56)&gt;0),"tur_video bos",IF(AND(K56="hic_cikmadi",COUNTBLANK(L56)=0),"hic_cikmadi ama tur yazili",IF(AND(R56="evet",K56="tutuldu"),"TAMAM - negatif cikarimina uygun","TAMAM")))))</f>
        <v/>
      </c>
    </row>
    <row r="57">
      <c r="A57" s="9" t="n"/>
      <c r="B57" s="9" t="n"/>
      <c r="C57" s="9" t="n"/>
      <c r="D57" s="9" t="n"/>
      <c r="E57" s="9" t="n"/>
      <c r="F57" s="10" t="n"/>
      <c r="G57" s="10" t="n"/>
      <c r="H57" s="9" t="n"/>
      <c r="I57" s="9" t="n"/>
      <c r="J57" s="10" t="n"/>
      <c r="K57" s="9" t="n"/>
      <c r="L57" s="9" t="n"/>
      <c r="M57" s="10" t="n"/>
      <c r="N57" s="10" t="n"/>
      <c r="O57" s="10" t="n"/>
      <c r="P57" s="9" t="n"/>
      <c r="Q57" s="10" t="n"/>
      <c r="R57" s="9" t="n"/>
      <c r="S57" s="9" t="n"/>
      <c r="T57" s="10" t="n"/>
      <c r="U57" s="11">
        <f>IF(COUNTA(A57:T57)=0,"",IF(COUNTBLANK(A57)+COUNTBLANK(B57)+COUNTBLANK(C57)+COUNTBLANK(D57)+COUNTBLANK(E57)+COUNTBLANK(H57)+COUNTBLANK(I57)+COUNTBLANK(K57)+COUNTBLANK(P57)+COUNTBLANK(R57)+COUNTBLANK(S57)&gt;0,"eksik zorunlu alan var",IF(AND(K57="tutuldu",COUNTBLANK(L57)&gt;0),"tur_video bos",IF(AND(K57="hic_cikmadi",COUNTBLANK(L57)=0),"hic_cikmadi ama tur yazili",IF(AND(R57="evet",K57="tutuldu"),"TAMAM - negatif cikarimina uygun","TAMAM")))))</f>
        <v/>
      </c>
    </row>
    <row r="58">
      <c r="A58" s="9" t="n"/>
      <c r="B58" s="9" t="n"/>
      <c r="C58" s="9" t="n"/>
      <c r="D58" s="9" t="n"/>
      <c r="E58" s="9" t="n"/>
      <c r="F58" s="10" t="n"/>
      <c r="G58" s="10" t="n"/>
      <c r="H58" s="9" t="n"/>
      <c r="I58" s="9" t="n"/>
      <c r="J58" s="10" t="n"/>
      <c r="K58" s="9" t="n"/>
      <c r="L58" s="9" t="n"/>
      <c r="M58" s="10" t="n"/>
      <c r="N58" s="10" t="n"/>
      <c r="O58" s="10" t="n"/>
      <c r="P58" s="9" t="n"/>
      <c r="Q58" s="10" t="n"/>
      <c r="R58" s="9" t="n"/>
      <c r="S58" s="9" t="n"/>
      <c r="T58" s="10" t="n"/>
      <c r="U58" s="11">
        <f>IF(COUNTA(A58:T58)=0,"",IF(COUNTBLANK(A58)+COUNTBLANK(B58)+COUNTBLANK(C58)+COUNTBLANK(D58)+COUNTBLANK(E58)+COUNTBLANK(H58)+COUNTBLANK(I58)+COUNTBLANK(K58)+COUNTBLANK(P58)+COUNTBLANK(R58)+COUNTBLANK(S58)&gt;0,"eksik zorunlu alan var",IF(AND(K58="tutuldu",COUNTBLANK(L58)&gt;0),"tur_video bos",IF(AND(K58="hic_cikmadi",COUNTBLANK(L58)=0),"hic_cikmadi ama tur yazili",IF(AND(R58="evet",K58="tutuldu"),"TAMAM - negatif cikarimina uygun","TAMAM")))))</f>
        <v/>
      </c>
    </row>
    <row r="59">
      <c r="A59" s="9" t="n"/>
      <c r="B59" s="9" t="n"/>
      <c r="C59" s="9" t="n"/>
      <c r="D59" s="9" t="n"/>
      <c r="E59" s="9" t="n"/>
      <c r="F59" s="10" t="n"/>
      <c r="G59" s="10" t="n"/>
      <c r="H59" s="9" t="n"/>
      <c r="I59" s="9" t="n"/>
      <c r="J59" s="10" t="n"/>
      <c r="K59" s="9" t="n"/>
      <c r="L59" s="9" t="n"/>
      <c r="M59" s="10" t="n"/>
      <c r="N59" s="10" t="n"/>
      <c r="O59" s="10" t="n"/>
      <c r="P59" s="9" t="n"/>
      <c r="Q59" s="10" t="n"/>
      <c r="R59" s="9" t="n"/>
      <c r="S59" s="9" t="n"/>
      <c r="T59" s="10" t="n"/>
      <c r="U59" s="11">
        <f>IF(COUNTA(A59:T59)=0,"",IF(COUNTBLANK(A59)+COUNTBLANK(B59)+COUNTBLANK(C59)+COUNTBLANK(D59)+COUNTBLANK(E59)+COUNTBLANK(H59)+COUNTBLANK(I59)+COUNTBLANK(K59)+COUNTBLANK(P59)+COUNTBLANK(R59)+COUNTBLANK(S59)&gt;0,"eksik zorunlu alan var",IF(AND(K59="tutuldu",COUNTBLANK(L59)&gt;0),"tur_video bos",IF(AND(K59="hic_cikmadi",COUNTBLANK(L59)=0),"hic_cikmadi ama tur yazili",IF(AND(R59="evet",K59="tutuldu"),"TAMAM - negatif cikarimina uygun","TAMAM")))))</f>
        <v/>
      </c>
    </row>
    <row r="60">
      <c r="A60" s="9" t="n"/>
      <c r="B60" s="9" t="n"/>
      <c r="C60" s="9" t="n"/>
      <c r="D60" s="9" t="n"/>
      <c r="E60" s="9" t="n"/>
      <c r="F60" s="10" t="n"/>
      <c r="G60" s="10" t="n"/>
      <c r="H60" s="9" t="n"/>
      <c r="I60" s="9" t="n"/>
      <c r="J60" s="10" t="n"/>
      <c r="K60" s="9" t="n"/>
      <c r="L60" s="9" t="n"/>
      <c r="M60" s="10" t="n"/>
      <c r="N60" s="10" t="n"/>
      <c r="O60" s="10" t="n"/>
      <c r="P60" s="9" t="n"/>
      <c r="Q60" s="10" t="n"/>
      <c r="R60" s="9" t="n"/>
      <c r="S60" s="9" t="n"/>
      <c r="T60" s="10" t="n"/>
      <c r="U60" s="11">
        <f>IF(COUNTA(A60:T60)=0,"",IF(COUNTBLANK(A60)+COUNTBLANK(B60)+COUNTBLANK(C60)+COUNTBLANK(D60)+COUNTBLANK(E60)+COUNTBLANK(H60)+COUNTBLANK(I60)+COUNTBLANK(K60)+COUNTBLANK(P60)+COUNTBLANK(R60)+COUNTBLANK(S60)&gt;0,"eksik zorunlu alan var",IF(AND(K60="tutuldu",COUNTBLANK(L60)&gt;0),"tur_video bos",IF(AND(K60="hic_cikmadi",COUNTBLANK(L60)=0),"hic_cikmadi ama tur yazili",IF(AND(R60="evet",K60="tutuldu"),"TAMAM - negatif cikarimina uygun","TAMAM")))))</f>
        <v/>
      </c>
    </row>
    <row r="61">
      <c r="A61" s="9" t="n"/>
      <c r="B61" s="9" t="n"/>
      <c r="C61" s="9" t="n"/>
      <c r="D61" s="9" t="n"/>
      <c r="E61" s="9" t="n"/>
      <c r="F61" s="10" t="n"/>
      <c r="G61" s="10" t="n"/>
      <c r="H61" s="9" t="n"/>
      <c r="I61" s="9" t="n"/>
      <c r="J61" s="10" t="n"/>
      <c r="K61" s="9" t="n"/>
      <c r="L61" s="9" t="n"/>
      <c r="M61" s="10" t="n"/>
      <c r="N61" s="10" t="n"/>
      <c r="O61" s="10" t="n"/>
      <c r="P61" s="9" t="n"/>
      <c r="Q61" s="10" t="n"/>
      <c r="R61" s="9" t="n"/>
      <c r="S61" s="9" t="n"/>
      <c r="T61" s="10" t="n"/>
      <c r="U61" s="11">
        <f>IF(COUNTA(A61:T61)=0,"",IF(COUNTBLANK(A61)+COUNTBLANK(B61)+COUNTBLANK(C61)+COUNTBLANK(D61)+COUNTBLANK(E61)+COUNTBLANK(H61)+COUNTBLANK(I61)+COUNTBLANK(K61)+COUNTBLANK(P61)+COUNTBLANK(R61)+COUNTBLANK(S61)&gt;0,"eksik zorunlu alan var",IF(AND(K61="tutuldu",COUNTBLANK(L61)&gt;0),"tur_video bos",IF(AND(K61="hic_cikmadi",COUNTBLANK(L61)=0),"hic_cikmadi ama tur yazili",IF(AND(R61="evet",K61="tutuldu"),"TAMAM - negatif cikarimina uygun","TAMAM")))))</f>
        <v/>
      </c>
    </row>
    <row r="62">
      <c r="A62" s="9" t="n"/>
      <c r="B62" s="9" t="n"/>
      <c r="C62" s="9" t="n"/>
      <c r="D62" s="9" t="n"/>
      <c r="E62" s="9" t="n"/>
      <c r="F62" s="10" t="n"/>
      <c r="G62" s="10" t="n"/>
      <c r="H62" s="9" t="n"/>
      <c r="I62" s="9" t="n"/>
      <c r="J62" s="10" t="n"/>
      <c r="K62" s="9" t="n"/>
      <c r="L62" s="9" t="n"/>
      <c r="M62" s="10" t="n"/>
      <c r="N62" s="10" t="n"/>
      <c r="O62" s="10" t="n"/>
      <c r="P62" s="9" t="n"/>
      <c r="Q62" s="10" t="n"/>
      <c r="R62" s="9" t="n"/>
      <c r="S62" s="9" t="n"/>
      <c r="T62" s="10" t="n"/>
      <c r="U62" s="11">
        <f>IF(COUNTA(A62:T62)=0,"",IF(COUNTBLANK(A62)+COUNTBLANK(B62)+COUNTBLANK(C62)+COUNTBLANK(D62)+COUNTBLANK(E62)+COUNTBLANK(H62)+COUNTBLANK(I62)+COUNTBLANK(K62)+COUNTBLANK(P62)+COUNTBLANK(R62)+COUNTBLANK(S62)&gt;0,"eksik zorunlu alan var",IF(AND(K62="tutuldu",COUNTBLANK(L62)&gt;0),"tur_video bos",IF(AND(K62="hic_cikmadi",COUNTBLANK(L62)=0),"hic_cikmadi ama tur yazili",IF(AND(R62="evet",K62="tutuldu"),"TAMAM - negatif cikarimina uygun","TAMAM")))))</f>
        <v/>
      </c>
    </row>
    <row r="63">
      <c r="A63" s="9" t="n"/>
      <c r="B63" s="9" t="n"/>
      <c r="C63" s="9" t="n"/>
      <c r="D63" s="9" t="n"/>
      <c r="E63" s="9" t="n"/>
      <c r="F63" s="10" t="n"/>
      <c r="G63" s="10" t="n"/>
      <c r="H63" s="9" t="n"/>
      <c r="I63" s="9" t="n"/>
      <c r="J63" s="10" t="n"/>
      <c r="K63" s="9" t="n"/>
      <c r="L63" s="9" t="n"/>
      <c r="M63" s="10" t="n"/>
      <c r="N63" s="10" t="n"/>
      <c r="O63" s="10" t="n"/>
      <c r="P63" s="9" t="n"/>
      <c r="Q63" s="10" t="n"/>
      <c r="R63" s="9" t="n"/>
      <c r="S63" s="9" t="n"/>
      <c r="T63" s="10" t="n"/>
      <c r="U63" s="11">
        <f>IF(COUNTA(A63:T63)=0,"",IF(COUNTBLANK(A63)+COUNTBLANK(B63)+COUNTBLANK(C63)+COUNTBLANK(D63)+COUNTBLANK(E63)+COUNTBLANK(H63)+COUNTBLANK(I63)+COUNTBLANK(K63)+COUNTBLANK(P63)+COUNTBLANK(R63)+COUNTBLANK(S63)&gt;0,"eksik zorunlu alan var",IF(AND(K63="tutuldu",COUNTBLANK(L63)&gt;0),"tur_video bos",IF(AND(K63="hic_cikmadi",COUNTBLANK(L63)=0),"hic_cikmadi ama tur yazili",IF(AND(R63="evet",K63="tutuldu"),"TAMAM - negatif cikarimina uygun","TAMAM")))))</f>
        <v/>
      </c>
    </row>
    <row r="64">
      <c r="A64" s="9" t="n"/>
      <c r="B64" s="9" t="n"/>
      <c r="C64" s="9" t="n"/>
      <c r="D64" s="9" t="n"/>
      <c r="E64" s="9" t="n"/>
      <c r="F64" s="10" t="n"/>
      <c r="G64" s="10" t="n"/>
      <c r="H64" s="9" t="n"/>
      <c r="I64" s="9" t="n"/>
      <c r="J64" s="10" t="n"/>
      <c r="K64" s="9" t="n"/>
      <c r="L64" s="9" t="n"/>
      <c r="M64" s="10" t="n"/>
      <c r="N64" s="10" t="n"/>
      <c r="O64" s="10" t="n"/>
      <c r="P64" s="9" t="n"/>
      <c r="Q64" s="10" t="n"/>
      <c r="R64" s="9" t="n"/>
      <c r="S64" s="9" t="n"/>
      <c r="T64" s="10" t="n"/>
      <c r="U64" s="11">
        <f>IF(COUNTA(A64:T64)=0,"",IF(COUNTBLANK(A64)+COUNTBLANK(B64)+COUNTBLANK(C64)+COUNTBLANK(D64)+COUNTBLANK(E64)+COUNTBLANK(H64)+COUNTBLANK(I64)+COUNTBLANK(K64)+COUNTBLANK(P64)+COUNTBLANK(R64)+COUNTBLANK(S64)&gt;0,"eksik zorunlu alan var",IF(AND(K64="tutuldu",COUNTBLANK(L64)&gt;0),"tur_video bos",IF(AND(K64="hic_cikmadi",COUNTBLANK(L64)=0),"hic_cikmadi ama tur yazili",IF(AND(R64="evet",K64="tutuldu"),"TAMAM - negatif cikarimina uygun","TAMAM")))))</f>
        <v/>
      </c>
    </row>
    <row r="65">
      <c r="A65" s="9" t="n"/>
      <c r="B65" s="9" t="n"/>
      <c r="C65" s="9" t="n"/>
      <c r="D65" s="9" t="n"/>
      <c r="E65" s="9" t="n"/>
      <c r="F65" s="10" t="n"/>
      <c r="G65" s="10" t="n"/>
      <c r="H65" s="9" t="n"/>
      <c r="I65" s="9" t="n"/>
      <c r="J65" s="10" t="n"/>
      <c r="K65" s="9" t="n"/>
      <c r="L65" s="9" t="n"/>
      <c r="M65" s="10" t="n"/>
      <c r="N65" s="10" t="n"/>
      <c r="O65" s="10" t="n"/>
      <c r="P65" s="9" t="n"/>
      <c r="Q65" s="10" t="n"/>
      <c r="R65" s="9" t="n"/>
      <c r="S65" s="9" t="n"/>
      <c r="T65" s="10" t="n"/>
      <c r="U65" s="11">
        <f>IF(COUNTA(A65:T65)=0,"",IF(COUNTBLANK(A65)+COUNTBLANK(B65)+COUNTBLANK(C65)+COUNTBLANK(D65)+COUNTBLANK(E65)+COUNTBLANK(H65)+COUNTBLANK(I65)+COUNTBLANK(K65)+COUNTBLANK(P65)+COUNTBLANK(R65)+COUNTBLANK(S65)&gt;0,"eksik zorunlu alan var",IF(AND(K65="tutuldu",COUNTBLANK(L65)&gt;0),"tur_video bos",IF(AND(K65="hic_cikmadi",COUNTBLANK(L65)=0),"hic_cikmadi ama tur yazili",IF(AND(R65="evet",K65="tutuldu"),"TAMAM - negatif cikarimina uygun","TAMAM")))))</f>
        <v/>
      </c>
    </row>
    <row r="66">
      <c r="A66" s="9" t="n"/>
      <c r="B66" s="9" t="n"/>
      <c r="C66" s="9" t="n"/>
      <c r="D66" s="9" t="n"/>
      <c r="E66" s="9" t="n"/>
      <c r="F66" s="10" t="n"/>
      <c r="G66" s="10" t="n"/>
      <c r="H66" s="9" t="n"/>
      <c r="I66" s="9" t="n"/>
      <c r="J66" s="10" t="n"/>
      <c r="K66" s="9" t="n"/>
      <c r="L66" s="9" t="n"/>
      <c r="M66" s="10" t="n"/>
      <c r="N66" s="10" t="n"/>
      <c r="O66" s="10" t="n"/>
      <c r="P66" s="9" t="n"/>
      <c r="Q66" s="10" t="n"/>
      <c r="R66" s="9" t="n"/>
      <c r="S66" s="9" t="n"/>
      <c r="T66" s="10" t="n"/>
      <c r="U66" s="11">
        <f>IF(COUNTA(A66:T66)=0,"",IF(COUNTBLANK(A66)+COUNTBLANK(B66)+COUNTBLANK(C66)+COUNTBLANK(D66)+COUNTBLANK(E66)+COUNTBLANK(H66)+COUNTBLANK(I66)+COUNTBLANK(K66)+COUNTBLANK(P66)+COUNTBLANK(R66)+COUNTBLANK(S66)&gt;0,"eksik zorunlu alan var",IF(AND(K66="tutuldu",COUNTBLANK(L66)&gt;0),"tur_video bos",IF(AND(K66="hic_cikmadi",COUNTBLANK(L66)=0),"hic_cikmadi ama tur yazili",IF(AND(R66="evet",K66="tutuldu"),"TAMAM - negatif cikarimina uygun","TAMAM")))))</f>
        <v/>
      </c>
    </row>
    <row r="67">
      <c r="A67" s="9" t="n"/>
      <c r="B67" s="9" t="n"/>
      <c r="C67" s="9" t="n"/>
      <c r="D67" s="9" t="n"/>
      <c r="E67" s="9" t="n"/>
      <c r="F67" s="10" t="n"/>
      <c r="G67" s="10" t="n"/>
      <c r="H67" s="9" t="n"/>
      <c r="I67" s="9" t="n"/>
      <c r="J67" s="10" t="n"/>
      <c r="K67" s="9" t="n"/>
      <c r="L67" s="9" t="n"/>
      <c r="M67" s="10" t="n"/>
      <c r="N67" s="10" t="n"/>
      <c r="O67" s="10" t="n"/>
      <c r="P67" s="9" t="n"/>
      <c r="Q67" s="10" t="n"/>
      <c r="R67" s="9" t="n"/>
      <c r="S67" s="9" t="n"/>
      <c r="T67" s="10" t="n"/>
      <c r="U67" s="11">
        <f>IF(COUNTA(A67:T67)=0,"",IF(COUNTBLANK(A67)+COUNTBLANK(B67)+COUNTBLANK(C67)+COUNTBLANK(D67)+COUNTBLANK(E67)+COUNTBLANK(H67)+COUNTBLANK(I67)+COUNTBLANK(K67)+COUNTBLANK(P67)+COUNTBLANK(R67)+COUNTBLANK(S67)&gt;0,"eksik zorunlu alan var",IF(AND(K67="tutuldu",COUNTBLANK(L67)&gt;0),"tur_video bos",IF(AND(K67="hic_cikmadi",COUNTBLANK(L67)=0),"hic_cikmadi ama tur yazili",IF(AND(R67="evet",K67="tutuldu"),"TAMAM - negatif cikarimina uygun","TAMAM")))))</f>
        <v/>
      </c>
    </row>
    <row r="68">
      <c r="A68" s="9" t="n"/>
      <c r="B68" s="9" t="n"/>
      <c r="C68" s="9" t="n"/>
      <c r="D68" s="9" t="n"/>
      <c r="E68" s="9" t="n"/>
      <c r="F68" s="10" t="n"/>
      <c r="G68" s="10" t="n"/>
      <c r="H68" s="9" t="n"/>
      <c r="I68" s="9" t="n"/>
      <c r="J68" s="10" t="n"/>
      <c r="K68" s="9" t="n"/>
      <c r="L68" s="9" t="n"/>
      <c r="M68" s="10" t="n"/>
      <c r="N68" s="10" t="n"/>
      <c r="O68" s="10" t="n"/>
      <c r="P68" s="9" t="n"/>
      <c r="Q68" s="10" t="n"/>
      <c r="R68" s="9" t="n"/>
      <c r="S68" s="9" t="n"/>
      <c r="T68" s="10" t="n"/>
      <c r="U68" s="11">
        <f>IF(COUNTA(A68:T68)=0,"",IF(COUNTBLANK(A68)+COUNTBLANK(B68)+COUNTBLANK(C68)+COUNTBLANK(D68)+COUNTBLANK(E68)+COUNTBLANK(H68)+COUNTBLANK(I68)+COUNTBLANK(K68)+COUNTBLANK(P68)+COUNTBLANK(R68)+COUNTBLANK(S68)&gt;0,"eksik zorunlu alan var",IF(AND(K68="tutuldu",COUNTBLANK(L68)&gt;0),"tur_video bos",IF(AND(K68="hic_cikmadi",COUNTBLANK(L68)=0),"hic_cikmadi ama tur yazili",IF(AND(R68="evet",K68="tutuldu"),"TAMAM - negatif cikarimina uygun","TAMAM")))))</f>
        <v/>
      </c>
    </row>
    <row r="69">
      <c r="A69" s="9" t="n"/>
      <c r="B69" s="9" t="n"/>
      <c r="C69" s="9" t="n"/>
      <c r="D69" s="9" t="n"/>
      <c r="E69" s="9" t="n"/>
      <c r="F69" s="10" t="n"/>
      <c r="G69" s="10" t="n"/>
      <c r="H69" s="9" t="n"/>
      <c r="I69" s="9" t="n"/>
      <c r="J69" s="10" t="n"/>
      <c r="K69" s="9" t="n"/>
      <c r="L69" s="9" t="n"/>
      <c r="M69" s="10" t="n"/>
      <c r="N69" s="10" t="n"/>
      <c r="O69" s="10" t="n"/>
      <c r="P69" s="9" t="n"/>
      <c r="Q69" s="10" t="n"/>
      <c r="R69" s="9" t="n"/>
      <c r="S69" s="9" t="n"/>
      <c r="T69" s="10" t="n"/>
      <c r="U69" s="11">
        <f>IF(COUNTA(A69:T69)=0,"",IF(COUNTBLANK(A69)+COUNTBLANK(B69)+COUNTBLANK(C69)+COUNTBLANK(D69)+COUNTBLANK(E69)+COUNTBLANK(H69)+COUNTBLANK(I69)+COUNTBLANK(K69)+COUNTBLANK(P69)+COUNTBLANK(R69)+COUNTBLANK(S69)&gt;0,"eksik zorunlu alan var",IF(AND(K69="tutuldu",COUNTBLANK(L69)&gt;0),"tur_video bos",IF(AND(K69="hic_cikmadi",COUNTBLANK(L69)=0),"hic_cikmadi ama tur yazili",IF(AND(R69="evet",K69="tutuldu"),"TAMAM - negatif cikarimina uygun","TAMAM")))))</f>
        <v/>
      </c>
    </row>
    <row r="70">
      <c r="A70" s="9" t="n"/>
      <c r="B70" s="9" t="n"/>
      <c r="C70" s="9" t="n"/>
      <c r="D70" s="9" t="n"/>
      <c r="E70" s="9" t="n"/>
      <c r="F70" s="10" t="n"/>
      <c r="G70" s="10" t="n"/>
      <c r="H70" s="9" t="n"/>
      <c r="I70" s="9" t="n"/>
      <c r="J70" s="10" t="n"/>
      <c r="K70" s="9" t="n"/>
      <c r="L70" s="9" t="n"/>
      <c r="M70" s="10" t="n"/>
      <c r="N70" s="10" t="n"/>
      <c r="O70" s="10" t="n"/>
      <c r="P70" s="9" t="n"/>
      <c r="Q70" s="10" t="n"/>
      <c r="R70" s="9" t="n"/>
      <c r="S70" s="9" t="n"/>
      <c r="T70" s="10" t="n"/>
      <c r="U70" s="11">
        <f>IF(COUNTA(A70:T70)=0,"",IF(COUNTBLANK(A70)+COUNTBLANK(B70)+COUNTBLANK(C70)+COUNTBLANK(D70)+COUNTBLANK(E70)+COUNTBLANK(H70)+COUNTBLANK(I70)+COUNTBLANK(K70)+COUNTBLANK(P70)+COUNTBLANK(R70)+COUNTBLANK(S70)&gt;0,"eksik zorunlu alan var",IF(AND(K70="tutuldu",COUNTBLANK(L70)&gt;0),"tur_video bos",IF(AND(K70="hic_cikmadi",COUNTBLANK(L70)=0),"hic_cikmadi ama tur yazili",IF(AND(R70="evet",K70="tutuldu"),"TAMAM - negatif cikarimina uygun","TAMAM")))))</f>
        <v/>
      </c>
    </row>
    <row r="71">
      <c r="A71" s="9" t="n"/>
      <c r="B71" s="9" t="n"/>
      <c r="C71" s="9" t="n"/>
      <c r="D71" s="9" t="n"/>
      <c r="E71" s="9" t="n"/>
      <c r="F71" s="10" t="n"/>
      <c r="G71" s="10" t="n"/>
      <c r="H71" s="9" t="n"/>
      <c r="I71" s="9" t="n"/>
      <c r="J71" s="10" t="n"/>
      <c r="K71" s="9" t="n"/>
      <c r="L71" s="9" t="n"/>
      <c r="M71" s="10" t="n"/>
      <c r="N71" s="10" t="n"/>
      <c r="O71" s="10" t="n"/>
      <c r="P71" s="9" t="n"/>
      <c r="Q71" s="10" t="n"/>
      <c r="R71" s="9" t="n"/>
      <c r="S71" s="9" t="n"/>
      <c r="T71" s="10" t="n"/>
      <c r="U71" s="11">
        <f>IF(COUNTA(A71:T71)=0,"",IF(COUNTBLANK(A71)+COUNTBLANK(B71)+COUNTBLANK(C71)+COUNTBLANK(D71)+COUNTBLANK(E71)+COUNTBLANK(H71)+COUNTBLANK(I71)+COUNTBLANK(K71)+COUNTBLANK(P71)+COUNTBLANK(R71)+COUNTBLANK(S71)&gt;0,"eksik zorunlu alan var",IF(AND(K71="tutuldu",COUNTBLANK(L71)&gt;0),"tur_video bos",IF(AND(K71="hic_cikmadi",COUNTBLANK(L71)=0),"hic_cikmadi ama tur yazili",IF(AND(R71="evet",K71="tutuldu"),"TAMAM - negatif cikarimina uygun","TAMAM")))))</f>
        <v/>
      </c>
    </row>
    <row r="72">
      <c r="A72" s="9" t="n"/>
      <c r="B72" s="9" t="n"/>
      <c r="C72" s="9" t="n"/>
      <c r="D72" s="9" t="n"/>
      <c r="E72" s="9" t="n"/>
      <c r="F72" s="10" t="n"/>
      <c r="G72" s="10" t="n"/>
      <c r="H72" s="9" t="n"/>
      <c r="I72" s="9" t="n"/>
      <c r="J72" s="10" t="n"/>
      <c r="K72" s="9" t="n"/>
      <c r="L72" s="9" t="n"/>
      <c r="M72" s="10" t="n"/>
      <c r="N72" s="10" t="n"/>
      <c r="O72" s="10" t="n"/>
      <c r="P72" s="9" t="n"/>
      <c r="Q72" s="10" t="n"/>
      <c r="R72" s="9" t="n"/>
      <c r="S72" s="9" t="n"/>
      <c r="T72" s="10" t="n"/>
      <c r="U72" s="11">
        <f>IF(COUNTA(A72:T72)=0,"",IF(COUNTBLANK(A72)+COUNTBLANK(B72)+COUNTBLANK(C72)+COUNTBLANK(D72)+COUNTBLANK(E72)+COUNTBLANK(H72)+COUNTBLANK(I72)+COUNTBLANK(K72)+COUNTBLANK(P72)+COUNTBLANK(R72)+COUNTBLANK(S72)&gt;0,"eksik zorunlu alan var",IF(AND(K72="tutuldu",COUNTBLANK(L72)&gt;0),"tur_video bos",IF(AND(K72="hic_cikmadi",COUNTBLANK(L72)=0),"hic_cikmadi ama tur yazili",IF(AND(R72="evet",K72="tutuldu"),"TAMAM - negatif cikarimina uygun","TAMAM")))))</f>
        <v/>
      </c>
    </row>
    <row r="73">
      <c r="A73" s="9" t="n"/>
      <c r="B73" s="9" t="n"/>
      <c r="C73" s="9" t="n"/>
      <c r="D73" s="9" t="n"/>
      <c r="E73" s="9" t="n"/>
      <c r="F73" s="10" t="n"/>
      <c r="G73" s="10" t="n"/>
      <c r="H73" s="9" t="n"/>
      <c r="I73" s="9" t="n"/>
      <c r="J73" s="10" t="n"/>
      <c r="K73" s="9" t="n"/>
      <c r="L73" s="9" t="n"/>
      <c r="M73" s="10" t="n"/>
      <c r="N73" s="10" t="n"/>
      <c r="O73" s="10" t="n"/>
      <c r="P73" s="9" t="n"/>
      <c r="Q73" s="10" t="n"/>
      <c r="R73" s="9" t="n"/>
      <c r="S73" s="9" t="n"/>
      <c r="T73" s="10" t="n"/>
      <c r="U73" s="11">
        <f>IF(COUNTA(A73:T73)=0,"",IF(COUNTBLANK(A73)+COUNTBLANK(B73)+COUNTBLANK(C73)+COUNTBLANK(D73)+COUNTBLANK(E73)+COUNTBLANK(H73)+COUNTBLANK(I73)+COUNTBLANK(K73)+COUNTBLANK(P73)+COUNTBLANK(R73)+COUNTBLANK(S73)&gt;0,"eksik zorunlu alan var",IF(AND(K73="tutuldu",COUNTBLANK(L73)&gt;0),"tur_video bos",IF(AND(K73="hic_cikmadi",COUNTBLANK(L73)=0),"hic_cikmadi ama tur yazili",IF(AND(R73="evet",K73="tutuldu"),"TAMAM - negatif cikarimina uygun","TAMAM")))))</f>
        <v/>
      </c>
    </row>
    <row r="74">
      <c r="A74" s="9" t="n"/>
      <c r="B74" s="9" t="n"/>
      <c r="C74" s="9" t="n"/>
      <c r="D74" s="9" t="n"/>
      <c r="E74" s="9" t="n"/>
      <c r="F74" s="10" t="n"/>
      <c r="G74" s="10" t="n"/>
      <c r="H74" s="9" t="n"/>
      <c r="I74" s="9" t="n"/>
      <c r="J74" s="10" t="n"/>
      <c r="K74" s="9" t="n"/>
      <c r="L74" s="9" t="n"/>
      <c r="M74" s="10" t="n"/>
      <c r="N74" s="10" t="n"/>
      <c r="O74" s="10" t="n"/>
      <c r="P74" s="9" t="n"/>
      <c r="Q74" s="10" t="n"/>
      <c r="R74" s="9" t="n"/>
      <c r="S74" s="9" t="n"/>
      <c r="T74" s="10" t="n"/>
      <c r="U74" s="11">
        <f>IF(COUNTA(A74:T74)=0,"",IF(COUNTBLANK(A74)+COUNTBLANK(B74)+COUNTBLANK(C74)+COUNTBLANK(D74)+COUNTBLANK(E74)+COUNTBLANK(H74)+COUNTBLANK(I74)+COUNTBLANK(K74)+COUNTBLANK(P74)+COUNTBLANK(R74)+COUNTBLANK(S74)&gt;0,"eksik zorunlu alan var",IF(AND(K74="tutuldu",COUNTBLANK(L74)&gt;0),"tur_video bos",IF(AND(K74="hic_cikmadi",COUNTBLANK(L74)=0),"hic_cikmadi ama tur yazili",IF(AND(R74="evet",K74="tutuldu"),"TAMAM - negatif cikarimina uygun","TAMAM")))))</f>
        <v/>
      </c>
    </row>
    <row r="75">
      <c r="A75" s="9" t="n"/>
      <c r="B75" s="9" t="n"/>
      <c r="C75" s="9" t="n"/>
      <c r="D75" s="9" t="n"/>
      <c r="E75" s="9" t="n"/>
      <c r="F75" s="10" t="n"/>
      <c r="G75" s="10" t="n"/>
      <c r="H75" s="9" t="n"/>
      <c r="I75" s="9" t="n"/>
      <c r="J75" s="10" t="n"/>
      <c r="K75" s="9" t="n"/>
      <c r="L75" s="9" t="n"/>
      <c r="M75" s="10" t="n"/>
      <c r="N75" s="10" t="n"/>
      <c r="O75" s="10" t="n"/>
      <c r="P75" s="9" t="n"/>
      <c r="Q75" s="10" t="n"/>
      <c r="R75" s="9" t="n"/>
      <c r="S75" s="9" t="n"/>
      <c r="T75" s="10" t="n"/>
      <c r="U75" s="11">
        <f>IF(COUNTA(A75:T75)=0,"",IF(COUNTBLANK(A75)+COUNTBLANK(B75)+COUNTBLANK(C75)+COUNTBLANK(D75)+COUNTBLANK(E75)+COUNTBLANK(H75)+COUNTBLANK(I75)+COUNTBLANK(K75)+COUNTBLANK(P75)+COUNTBLANK(R75)+COUNTBLANK(S75)&gt;0,"eksik zorunlu alan var",IF(AND(K75="tutuldu",COUNTBLANK(L75)&gt;0),"tur_video bos",IF(AND(K75="hic_cikmadi",COUNTBLANK(L75)=0),"hic_cikmadi ama tur yazili",IF(AND(R75="evet",K75="tutuldu"),"TAMAM - negatif cikarimina uygun","TAMAM")))))</f>
        <v/>
      </c>
    </row>
    <row r="76">
      <c r="A76" s="9" t="n"/>
      <c r="B76" s="9" t="n"/>
      <c r="C76" s="9" t="n"/>
      <c r="D76" s="9" t="n"/>
      <c r="E76" s="9" t="n"/>
      <c r="F76" s="10" t="n"/>
      <c r="G76" s="10" t="n"/>
      <c r="H76" s="9" t="n"/>
      <c r="I76" s="9" t="n"/>
      <c r="J76" s="10" t="n"/>
      <c r="K76" s="9" t="n"/>
      <c r="L76" s="9" t="n"/>
      <c r="M76" s="10" t="n"/>
      <c r="N76" s="10" t="n"/>
      <c r="O76" s="10" t="n"/>
      <c r="P76" s="9" t="n"/>
      <c r="Q76" s="10" t="n"/>
      <c r="R76" s="9" t="n"/>
      <c r="S76" s="9" t="n"/>
      <c r="T76" s="10" t="n"/>
      <c r="U76" s="11">
        <f>IF(COUNTA(A76:T76)=0,"",IF(COUNTBLANK(A76)+COUNTBLANK(B76)+COUNTBLANK(C76)+COUNTBLANK(D76)+COUNTBLANK(E76)+COUNTBLANK(H76)+COUNTBLANK(I76)+COUNTBLANK(K76)+COUNTBLANK(P76)+COUNTBLANK(R76)+COUNTBLANK(S76)&gt;0,"eksik zorunlu alan var",IF(AND(K76="tutuldu",COUNTBLANK(L76)&gt;0),"tur_video bos",IF(AND(K76="hic_cikmadi",COUNTBLANK(L76)=0),"hic_cikmadi ama tur yazili",IF(AND(R76="evet",K76="tutuldu"),"TAMAM - negatif cikarimina uygun","TAMAM")))))</f>
        <v/>
      </c>
    </row>
    <row r="77">
      <c r="A77" s="9" t="n"/>
      <c r="B77" s="9" t="n"/>
      <c r="C77" s="9" t="n"/>
      <c r="D77" s="9" t="n"/>
      <c r="E77" s="9" t="n"/>
      <c r="F77" s="10" t="n"/>
      <c r="G77" s="10" t="n"/>
      <c r="H77" s="9" t="n"/>
      <c r="I77" s="9" t="n"/>
      <c r="J77" s="10" t="n"/>
      <c r="K77" s="9" t="n"/>
      <c r="L77" s="9" t="n"/>
      <c r="M77" s="10" t="n"/>
      <c r="N77" s="10" t="n"/>
      <c r="O77" s="10" t="n"/>
      <c r="P77" s="9" t="n"/>
      <c r="Q77" s="10" t="n"/>
      <c r="R77" s="9" t="n"/>
      <c r="S77" s="9" t="n"/>
      <c r="T77" s="10" t="n"/>
      <c r="U77" s="11">
        <f>IF(COUNTA(A77:T77)=0,"",IF(COUNTBLANK(A77)+COUNTBLANK(B77)+COUNTBLANK(C77)+COUNTBLANK(D77)+COUNTBLANK(E77)+COUNTBLANK(H77)+COUNTBLANK(I77)+COUNTBLANK(K77)+COUNTBLANK(P77)+COUNTBLANK(R77)+COUNTBLANK(S77)&gt;0,"eksik zorunlu alan var",IF(AND(K77="tutuldu",COUNTBLANK(L77)&gt;0),"tur_video bos",IF(AND(K77="hic_cikmadi",COUNTBLANK(L77)=0),"hic_cikmadi ama tur yazili",IF(AND(R77="evet",K77="tutuldu"),"TAMAM - negatif cikarimina uygun","TAMAM")))))</f>
        <v/>
      </c>
    </row>
    <row r="78">
      <c r="A78" s="9" t="n"/>
      <c r="B78" s="9" t="n"/>
      <c r="C78" s="9" t="n"/>
      <c r="D78" s="9" t="n"/>
      <c r="E78" s="9" t="n"/>
      <c r="F78" s="10" t="n"/>
      <c r="G78" s="10" t="n"/>
      <c r="H78" s="9" t="n"/>
      <c r="I78" s="9" t="n"/>
      <c r="J78" s="10" t="n"/>
      <c r="K78" s="9" t="n"/>
      <c r="L78" s="9" t="n"/>
      <c r="M78" s="10" t="n"/>
      <c r="N78" s="10" t="n"/>
      <c r="O78" s="10" t="n"/>
      <c r="P78" s="9" t="n"/>
      <c r="Q78" s="10" t="n"/>
      <c r="R78" s="9" t="n"/>
      <c r="S78" s="9" t="n"/>
      <c r="T78" s="10" t="n"/>
      <c r="U78" s="11">
        <f>IF(COUNTA(A78:T78)=0,"",IF(COUNTBLANK(A78)+COUNTBLANK(B78)+COUNTBLANK(C78)+COUNTBLANK(D78)+COUNTBLANK(E78)+COUNTBLANK(H78)+COUNTBLANK(I78)+COUNTBLANK(K78)+COUNTBLANK(P78)+COUNTBLANK(R78)+COUNTBLANK(S78)&gt;0,"eksik zorunlu alan var",IF(AND(K78="tutuldu",COUNTBLANK(L78)&gt;0),"tur_video bos",IF(AND(K78="hic_cikmadi",COUNTBLANK(L78)=0),"hic_cikmadi ama tur yazili",IF(AND(R78="evet",K78="tutuldu"),"TAMAM - negatif cikarimina uygun","TAMAM")))))</f>
        <v/>
      </c>
    </row>
    <row r="79">
      <c r="A79" s="9" t="n"/>
      <c r="B79" s="9" t="n"/>
      <c r="C79" s="9" t="n"/>
      <c r="D79" s="9" t="n"/>
      <c r="E79" s="9" t="n"/>
      <c r="F79" s="10" t="n"/>
      <c r="G79" s="10" t="n"/>
      <c r="H79" s="9" t="n"/>
      <c r="I79" s="9" t="n"/>
      <c r="J79" s="10" t="n"/>
      <c r="K79" s="9" t="n"/>
      <c r="L79" s="9" t="n"/>
      <c r="M79" s="10" t="n"/>
      <c r="N79" s="10" t="n"/>
      <c r="O79" s="10" t="n"/>
      <c r="P79" s="9" t="n"/>
      <c r="Q79" s="10" t="n"/>
      <c r="R79" s="9" t="n"/>
      <c r="S79" s="9" t="n"/>
      <c r="T79" s="10" t="n"/>
      <c r="U79" s="11">
        <f>IF(COUNTA(A79:T79)=0,"",IF(COUNTBLANK(A79)+COUNTBLANK(B79)+COUNTBLANK(C79)+COUNTBLANK(D79)+COUNTBLANK(E79)+COUNTBLANK(H79)+COUNTBLANK(I79)+COUNTBLANK(K79)+COUNTBLANK(P79)+COUNTBLANK(R79)+COUNTBLANK(S79)&gt;0,"eksik zorunlu alan var",IF(AND(K79="tutuldu",COUNTBLANK(L79)&gt;0),"tur_video bos",IF(AND(K79="hic_cikmadi",COUNTBLANK(L79)=0),"hic_cikmadi ama tur yazili",IF(AND(R79="evet",K79="tutuldu"),"TAMAM - negatif cikarimina uygun","TAMAM")))))</f>
        <v/>
      </c>
    </row>
    <row r="80">
      <c r="A80" s="9" t="n"/>
      <c r="B80" s="9" t="n"/>
      <c r="C80" s="9" t="n"/>
      <c r="D80" s="9" t="n"/>
      <c r="E80" s="9" t="n"/>
      <c r="F80" s="10" t="n"/>
      <c r="G80" s="10" t="n"/>
      <c r="H80" s="9" t="n"/>
      <c r="I80" s="9" t="n"/>
      <c r="J80" s="10" t="n"/>
      <c r="K80" s="9" t="n"/>
      <c r="L80" s="9" t="n"/>
      <c r="M80" s="10" t="n"/>
      <c r="N80" s="10" t="n"/>
      <c r="O80" s="10" t="n"/>
      <c r="P80" s="9" t="n"/>
      <c r="Q80" s="10" t="n"/>
      <c r="R80" s="9" t="n"/>
      <c r="S80" s="9" t="n"/>
      <c r="T80" s="10" t="n"/>
      <c r="U80" s="11">
        <f>IF(COUNTA(A80:T80)=0,"",IF(COUNTBLANK(A80)+COUNTBLANK(B80)+COUNTBLANK(C80)+COUNTBLANK(D80)+COUNTBLANK(E80)+COUNTBLANK(H80)+COUNTBLANK(I80)+COUNTBLANK(K80)+COUNTBLANK(P80)+COUNTBLANK(R80)+COUNTBLANK(S80)&gt;0,"eksik zorunlu alan var",IF(AND(K80="tutuldu",COUNTBLANK(L80)&gt;0),"tur_video bos",IF(AND(K80="hic_cikmadi",COUNTBLANK(L80)=0),"hic_cikmadi ama tur yazili",IF(AND(R80="evet",K80="tutuldu"),"TAMAM - negatif cikarimina uygun","TAMAM")))))</f>
        <v/>
      </c>
    </row>
    <row r="81">
      <c r="A81" s="9" t="n"/>
      <c r="B81" s="9" t="n"/>
      <c r="C81" s="9" t="n"/>
      <c r="D81" s="9" t="n"/>
      <c r="E81" s="9" t="n"/>
      <c r="F81" s="10" t="n"/>
      <c r="G81" s="10" t="n"/>
      <c r="H81" s="9" t="n"/>
      <c r="I81" s="9" t="n"/>
      <c r="J81" s="10" t="n"/>
      <c r="K81" s="9" t="n"/>
      <c r="L81" s="9" t="n"/>
      <c r="M81" s="10" t="n"/>
      <c r="N81" s="10" t="n"/>
      <c r="O81" s="10" t="n"/>
      <c r="P81" s="9" t="n"/>
      <c r="Q81" s="10" t="n"/>
      <c r="R81" s="9" t="n"/>
      <c r="S81" s="9" t="n"/>
      <c r="T81" s="10" t="n"/>
      <c r="U81" s="11">
        <f>IF(COUNTA(A81:T81)=0,"",IF(COUNTBLANK(A81)+COUNTBLANK(B81)+COUNTBLANK(C81)+COUNTBLANK(D81)+COUNTBLANK(E81)+COUNTBLANK(H81)+COUNTBLANK(I81)+COUNTBLANK(K81)+COUNTBLANK(P81)+COUNTBLANK(R81)+COUNTBLANK(S81)&gt;0,"eksik zorunlu alan var",IF(AND(K81="tutuldu",COUNTBLANK(L81)&gt;0),"tur_video bos",IF(AND(K81="hic_cikmadi",COUNTBLANK(L81)=0),"hic_cikmadi ama tur yazili",IF(AND(R81="evet",K81="tutuldu"),"TAMAM - negatif cikarimina uygun","TAMAM")))))</f>
        <v/>
      </c>
    </row>
    <row r="82">
      <c r="A82" s="9" t="n"/>
      <c r="B82" s="9" t="n"/>
      <c r="C82" s="9" t="n"/>
      <c r="D82" s="9" t="n"/>
      <c r="E82" s="9" t="n"/>
      <c r="F82" s="10" t="n"/>
      <c r="G82" s="10" t="n"/>
      <c r="H82" s="9" t="n"/>
      <c r="I82" s="9" t="n"/>
      <c r="J82" s="10" t="n"/>
      <c r="K82" s="9" t="n"/>
      <c r="L82" s="9" t="n"/>
      <c r="M82" s="10" t="n"/>
      <c r="N82" s="10" t="n"/>
      <c r="O82" s="10" t="n"/>
      <c r="P82" s="9" t="n"/>
      <c r="Q82" s="10" t="n"/>
      <c r="R82" s="9" t="n"/>
      <c r="S82" s="9" t="n"/>
      <c r="T82" s="10" t="n"/>
      <c r="U82" s="11">
        <f>IF(COUNTA(A82:T82)=0,"",IF(COUNTBLANK(A82)+COUNTBLANK(B82)+COUNTBLANK(C82)+COUNTBLANK(D82)+COUNTBLANK(E82)+COUNTBLANK(H82)+COUNTBLANK(I82)+COUNTBLANK(K82)+COUNTBLANK(P82)+COUNTBLANK(R82)+COUNTBLANK(S82)&gt;0,"eksik zorunlu alan var",IF(AND(K82="tutuldu",COUNTBLANK(L82)&gt;0),"tur_video bos",IF(AND(K82="hic_cikmadi",COUNTBLANK(L82)=0),"hic_cikmadi ama tur yazili",IF(AND(R82="evet",K82="tutuldu"),"TAMAM - negatif cikarimina uygun","TAMAM")))))</f>
        <v/>
      </c>
    </row>
    <row r="83">
      <c r="A83" s="9" t="n"/>
      <c r="B83" s="9" t="n"/>
      <c r="C83" s="9" t="n"/>
      <c r="D83" s="9" t="n"/>
      <c r="E83" s="9" t="n"/>
      <c r="F83" s="10" t="n"/>
      <c r="G83" s="10" t="n"/>
      <c r="H83" s="9" t="n"/>
      <c r="I83" s="9" t="n"/>
      <c r="J83" s="10" t="n"/>
      <c r="K83" s="9" t="n"/>
      <c r="L83" s="9" t="n"/>
      <c r="M83" s="10" t="n"/>
      <c r="N83" s="10" t="n"/>
      <c r="O83" s="10" t="n"/>
      <c r="P83" s="9" t="n"/>
      <c r="Q83" s="10" t="n"/>
      <c r="R83" s="9" t="n"/>
      <c r="S83" s="9" t="n"/>
      <c r="T83" s="10" t="n"/>
      <c r="U83" s="11">
        <f>IF(COUNTA(A83:T83)=0,"",IF(COUNTBLANK(A83)+COUNTBLANK(B83)+COUNTBLANK(C83)+COUNTBLANK(D83)+COUNTBLANK(E83)+COUNTBLANK(H83)+COUNTBLANK(I83)+COUNTBLANK(K83)+COUNTBLANK(P83)+COUNTBLANK(R83)+COUNTBLANK(S83)&gt;0,"eksik zorunlu alan var",IF(AND(K83="tutuldu",COUNTBLANK(L83)&gt;0),"tur_video bos",IF(AND(K83="hic_cikmadi",COUNTBLANK(L83)=0),"hic_cikmadi ama tur yazili",IF(AND(R83="evet",K83="tutuldu"),"TAMAM - negatif cikarimina uygun","TAMAM")))))</f>
        <v/>
      </c>
    </row>
    <row r="84">
      <c r="A84" s="9" t="n"/>
      <c r="B84" s="9" t="n"/>
      <c r="C84" s="9" t="n"/>
      <c r="D84" s="9" t="n"/>
      <c r="E84" s="9" t="n"/>
      <c r="F84" s="10" t="n"/>
      <c r="G84" s="10" t="n"/>
      <c r="H84" s="9" t="n"/>
      <c r="I84" s="9" t="n"/>
      <c r="J84" s="10" t="n"/>
      <c r="K84" s="9" t="n"/>
      <c r="L84" s="9" t="n"/>
      <c r="M84" s="10" t="n"/>
      <c r="N84" s="10" t="n"/>
      <c r="O84" s="10" t="n"/>
      <c r="P84" s="9" t="n"/>
      <c r="Q84" s="10" t="n"/>
      <c r="R84" s="9" t="n"/>
      <c r="S84" s="9" t="n"/>
      <c r="T84" s="10" t="n"/>
      <c r="U84" s="11">
        <f>IF(COUNTA(A84:T84)=0,"",IF(COUNTBLANK(A84)+COUNTBLANK(B84)+COUNTBLANK(C84)+COUNTBLANK(D84)+COUNTBLANK(E84)+COUNTBLANK(H84)+COUNTBLANK(I84)+COUNTBLANK(K84)+COUNTBLANK(P84)+COUNTBLANK(R84)+COUNTBLANK(S84)&gt;0,"eksik zorunlu alan var",IF(AND(K84="tutuldu",COUNTBLANK(L84)&gt;0),"tur_video bos",IF(AND(K84="hic_cikmadi",COUNTBLANK(L84)=0),"hic_cikmadi ama tur yazili",IF(AND(R84="evet",K84="tutuldu"),"TAMAM - negatif cikarimina uygun","TAMAM")))))</f>
        <v/>
      </c>
    </row>
    <row r="85">
      <c r="A85" s="9" t="n"/>
      <c r="B85" s="9" t="n"/>
      <c r="C85" s="9" t="n"/>
      <c r="D85" s="9" t="n"/>
      <c r="E85" s="9" t="n"/>
      <c r="F85" s="10" t="n"/>
      <c r="G85" s="10" t="n"/>
      <c r="H85" s="9" t="n"/>
      <c r="I85" s="9" t="n"/>
      <c r="J85" s="10" t="n"/>
      <c r="K85" s="9" t="n"/>
      <c r="L85" s="9" t="n"/>
      <c r="M85" s="10" t="n"/>
      <c r="N85" s="10" t="n"/>
      <c r="O85" s="10" t="n"/>
      <c r="P85" s="9" t="n"/>
      <c r="Q85" s="10" t="n"/>
      <c r="R85" s="9" t="n"/>
      <c r="S85" s="9" t="n"/>
      <c r="T85" s="10" t="n"/>
      <c r="U85" s="11">
        <f>IF(COUNTA(A85:T85)=0,"",IF(COUNTBLANK(A85)+COUNTBLANK(B85)+COUNTBLANK(C85)+COUNTBLANK(D85)+COUNTBLANK(E85)+COUNTBLANK(H85)+COUNTBLANK(I85)+COUNTBLANK(K85)+COUNTBLANK(P85)+COUNTBLANK(R85)+COUNTBLANK(S85)&gt;0,"eksik zorunlu alan var",IF(AND(K85="tutuldu",COUNTBLANK(L85)&gt;0),"tur_video bos",IF(AND(K85="hic_cikmadi",COUNTBLANK(L85)=0),"hic_cikmadi ama tur yazili",IF(AND(R85="evet",K85="tutuldu"),"TAMAM - negatif cikarimina uygun","TAMAM")))))</f>
        <v/>
      </c>
    </row>
    <row r="86">
      <c r="A86" s="9" t="n"/>
      <c r="B86" s="9" t="n"/>
      <c r="C86" s="9" t="n"/>
      <c r="D86" s="9" t="n"/>
      <c r="E86" s="9" t="n"/>
      <c r="F86" s="10" t="n"/>
      <c r="G86" s="10" t="n"/>
      <c r="H86" s="9" t="n"/>
      <c r="I86" s="9" t="n"/>
      <c r="J86" s="10" t="n"/>
      <c r="K86" s="9" t="n"/>
      <c r="L86" s="9" t="n"/>
      <c r="M86" s="10" t="n"/>
      <c r="N86" s="10" t="n"/>
      <c r="O86" s="10" t="n"/>
      <c r="P86" s="9" t="n"/>
      <c r="Q86" s="10" t="n"/>
      <c r="R86" s="9" t="n"/>
      <c r="S86" s="9" t="n"/>
      <c r="T86" s="10" t="n"/>
      <c r="U86" s="11">
        <f>IF(COUNTA(A86:T86)=0,"",IF(COUNTBLANK(A86)+COUNTBLANK(B86)+COUNTBLANK(C86)+COUNTBLANK(D86)+COUNTBLANK(E86)+COUNTBLANK(H86)+COUNTBLANK(I86)+COUNTBLANK(K86)+COUNTBLANK(P86)+COUNTBLANK(R86)+COUNTBLANK(S86)&gt;0,"eksik zorunlu alan var",IF(AND(K86="tutuldu",COUNTBLANK(L86)&gt;0),"tur_video bos",IF(AND(K86="hic_cikmadi",COUNTBLANK(L86)=0),"hic_cikmadi ama tur yazili",IF(AND(R86="evet",K86="tutuldu"),"TAMAM - negatif cikarimina uygun","TAMAM")))))</f>
        <v/>
      </c>
    </row>
    <row r="87">
      <c r="A87" s="9" t="n"/>
      <c r="B87" s="9" t="n"/>
      <c r="C87" s="9" t="n"/>
      <c r="D87" s="9" t="n"/>
      <c r="E87" s="9" t="n"/>
      <c r="F87" s="10" t="n"/>
      <c r="G87" s="10" t="n"/>
      <c r="H87" s="9" t="n"/>
      <c r="I87" s="9" t="n"/>
      <c r="J87" s="10" t="n"/>
      <c r="K87" s="9" t="n"/>
      <c r="L87" s="9" t="n"/>
      <c r="M87" s="10" t="n"/>
      <c r="N87" s="10" t="n"/>
      <c r="O87" s="10" t="n"/>
      <c r="P87" s="9" t="n"/>
      <c r="Q87" s="10" t="n"/>
      <c r="R87" s="9" t="n"/>
      <c r="S87" s="9" t="n"/>
      <c r="T87" s="10" t="n"/>
      <c r="U87" s="11">
        <f>IF(COUNTA(A87:T87)=0,"",IF(COUNTBLANK(A87)+COUNTBLANK(B87)+COUNTBLANK(C87)+COUNTBLANK(D87)+COUNTBLANK(E87)+COUNTBLANK(H87)+COUNTBLANK(I87)+COUNTBLANK(K87)+COUNTBLANK(P87)+COUNTBLANK(R87)+COUNTBLANK(S87)&gt;0,"eksik zorunlu alan var",IF(AND(K87="tutuldu",COUNTBLANK(L87)&gt;0),"tur_video bos",IF(AND(K87="hic_cikmadi",COUNTBLANK(L87)=0),"hic_cikmadi ama tur yazili",IF(AND(R87="evet",K87="tutuldu"),"TAMAM - negatif cikarimina uygun","TAMAM")))))</f>
        <v/>
      </c>
    </row>
    <row r="88">
      <c r="A88" s="9" t="n"/>
      <c r="B88" s="9" t="n"/>
      <c r="C88" s="9" t="n"/>
      <c r="D88" s="9" t="n"/>
      <c r="E88" s="9" t="n"/>
      <c r="F88" s="10" t="n"/>
      <c r="G88" s="10" t="n"/>
      <c r="H88" s="9" t="n"/>
      <c r="I88" s="9" t="n"/>
      <c r="J88" s="10" t="n"/>
      <c r="K88" s="9" t="n"/>
      <c r="L88" s="9" t="n"/>
      <c r="M88" s="10" t="n"/>
      <c r="N88" s="10" t="n"/>
      <c r="O88" s="10" t="n"/>
      <c r="P88" s="9" t="n"/>
      <c r="Q88" s="10" t="n"/>
      <c r="R88" s="9" t="n"/>
      <c r="S88" s="9" t="n"/>
      <c r="T88" s="10" t="n"/>
      <c r="U88" s="11">
        <f>IF(COUNTA(A88:T88)=0,"",IF(COUNTBLANK(A88)+COUNTBLANK(B88)+COUNTBLANK(C88)+COUNTBLANK(D88)+COUNTBLANK(E88)+COUNTBLANK(H88)+COUNTBLANK(I88)+COUNTBLANK(K88)+COUNTBLANK(P88)+COUNTBLANK(R88)+COUNTBLANK(S88)&gt;0,"eksik zorunlu alan var",IF(AND(K88="tutuldu",COUNTBLANK(L88)&gt;0),"tur_video bos",IF(AND(K88="hic_cikmadi",COUNTBLANK(L88)=0),"hic_cikmadi ama tur yazili",IF(AND(R88="evet",K88="tutuldu"),"TAMAM - negatif cikarimina uygun","TAMAM")))))</f>
        <v/>
      </c>
    </row>
    <row r="89">
      <c r="A89" s="9" t="n"/>
      <c r="B89" s="9" t="n"/>
      <c r="C89" s="9" t="n"/>
      <c r="D89" s="9" t="n"/>
      <c r="E89" s="9" t="n"/>
      <c r="F89" s="10" t="n"/>
      <c r="G89" s="10" t="n"/>
      <c r="H89" s="9" t="n"/>
      <c r="I89" s="9" t="n"/>
      <c r="J89" s="10" t="n"/>
      <c r="K89" s="9" t="n"/>
      <c r="L89" s="9" t="n"/>
      <c r="M89" s="10" t="n"/>
      <c r="N89" s="10" t="n"/>
      <c r="O89" s="10" t="n"/>
      <c r="P89" s="9" t="n"/>
      <c r="Q89" s="10" t="n"/>
      <c r="R89" s="9" t="n"/>
      <c r="S89" s="9" t="n"/>
      <c r="T89" s="10" t="n"/>
      <c r="U89" s="11">
        <f>IF(COUNTA(A89:T89)=0,"",IF(COUNTBLANK(A89)+COUNTBLANK(B89)+COUNTBLANK(C89)+COUNTBLANK(D89)+COUNTBLANK(E89)+COUNTBLANK(H89)+COUNTBLANK(I89)+COUNTBLANK(K89)+COUNTBLANK(P89)+COUNTBLANK(R89)+COUNTBLANK(S89)&gt;0,"eksik zorunlu alan var",IF(AND(K89="tutuldu",COUNTBLANK(L89)&gt;0),"tur_video bos",IF(AND(K89="hic_cikmadi",COUNTBLANK(L89)=0),"hic_cikmadi ama tur yazili",IF(AND(R89="evet",K89="tutuldu"),"TAMAM - negatif cikarimina uygun","TAMAM")))))</f>
        <v/>
      </c>
    </row>
    <row r="90">
      <c r="A90" s="9" t="n"/>
      <c r="B90" s="9" t="n"/>
      <c r="C90" s="9" t="n"/>
      <c r="D90" s="9" t="n"/>
      <c r="E90" s="9" t="n"/>
      <c r="F90" s="10" t="n"/>
      <c r="G90" s="10" t="n"/>
      <c r="H90" s="9" t="n"/>
      <c r="I90" s="9" t="n"/>
      <c r="J90" s="10" t="n"/>
      <c r="K90" s="9" t="n"/>
      <c r="L90" s="9" t="n"/>
      <c r="M90" s="10" t="n"/>
      <c r="N90" s="10" t="n"/>
      <c r="O90" s="10" t="n"/>
      <c r="P90" s="9" t="n"/>
      <c r="Q90" s="10" t="n"/>
      <c r="R90" s="9" t="n"/>
      <c r="S90" s="9" t="n"/>
      <c r="T90" s="10" t="n"/>
      <c r="U90" s="11">
        <f>IF(COUNTA(A90:T90)=0,"",IF(COUNTBLANK(A90)+COUNTBLANK(B90)+COUNTBLANK(C90)+COUNTBLANK(D90)+COUNTBLANK(E90)+COUNTBLANK(H90)+COUNTBLANK(I90)+COUNTBLANK(K90)+COUNTBLANK(P90)+COUNTBLANK(R90)+COUNTBLANK(S90)&gt;0,"eksik zorunlu alan var",IF(AND(K90="tutuldu",COUNTBLANK(L90)&gt;0),"tur_video bos",IF(AND(K90="hic_cikmadi",COUNTBLANK(L90)=0),"hic_cikmadi ama tur yazili",IF(AND(R90="evet",K90="tutuldu"),"TAMAM - negatif cikarimina uygun","TAMAM")))))</f>
        <v/>
      </c>
    </row>
    <row r="91">
      <c r="A91" s="9" t="n"/>
      <c r="B91" s="9" t="n"/>
      <c r="C91" s="9" t="n"/>
      <c r="D91" s="9" t="n"/>
      <c r="E91" s="9" t="n"/>
      <c r="F91" s="10" t="n"/>
      <c r="G91" s="10" t="n"/>
      <c r="H91" s="9" t="n"/>
      <c r="I91" s="9" t="n"/>
      <c r="J91" s="10" t="n"/>
      <c r="K91" s="9" t="n"/>
      <c r="L91" s="9" t="n"/>
      <c r="M91" s="10" t="n"/>
      <c r="N91" s="10" t="n"/>
      <c r="O91" s="10" t="n"/>
      <c r="P91" s="9" t="n"/>
      <c r="Q91" s="10" t="n"/>
      <c r="R91" s="9" t="n"/>
      <c r="S91" s="9" t="n"/>
      <c r="T91" s="10" t="n"/>
      <c r="U91" s="11">
        <f>IF(COUNTA(A91:T91)=0,"",IF(COUNTBLANK(A91)+COUNTBLANK(B91)+COUNTBLANK(C91)+COUNTBLANK(D91)+COUNTBLANK(E91)+COUNTBLANK(H91)+COUNTBLANK(I91)+COUNTBLANK(K91)+COUNTBLANK(P91)+COUNTBLANK(R91)+COUNTBLANK(S91)&gt;0,"eksik zorunlu alan var",IF(AND(K91="tutuldu",COUNTBLANK(L91)&gt;0),"tur_video bos",IF(AND(K91="hic_cikmadi",COUNTBLANK(L91)=0),"hic_cikmadi ama tur yazili",IF(AND(R91="evet",K91="tutuldu"),"TAMAM - negatif cikarimina uygun","TAMAM")))))</f>
        <v/>
      </c>
    </row>
    <row r="92">
      <c r="A92" s="9" t="n"/>
      <c r="B92" s="9" t="n"/>
      <c r="C92" s="9" t="n"/>
      <c r="D92" s="9" t="n"/>
      <c r="E92" s="9" t="n"/>
      <c r="F92" s="10" t="n"/>
      <c r="G92" s="10" t="n"/>
      <c r="H92" s="9" t="n"/>
      <c r="I92" s="9" t="n"/>
      <c r="J92" s="10" t="n"/>
      <c r="K92" s="9" t="n"/>
      <c r="L92" s="9" t="n"/>
      <c r="M92" s="10" t="n"/>
      <c r="N92" s="10" t="n"/>
      <c r="O92" s="10" t="n"/>
      <c r="P92" s="9" t="n"/>
      <c r="Q92" s="10" t="n"/>
      <c r="R92" s="9" t="n"/>
      <c r="S92" s="9" t="n"/>
      <c r="T92" s="10" t="n"/>
      <c r="U92" s="11">
        <f>IF(COUNTA(A92:T92)=0,"",IF(COUNTBLANK(A92)+COUNTBLANK(B92)+COUNTBLANK(C92)+COUNTBLANK(D92)+COUNTBLANK(E92)+COUNTBLANK(H92)+COUNTBLANK(I92)+COUNTBLANK(K92)+COUNTBLANK(P92)+COUNTBLANK(R92)+COUNTBLANK(S92)&gt;0,"eksik zorunlu alan var",IF(AND(K92="tutuldu",COUNTBLANK(L92)&gt;0),"tur_video bos",IF(AND(K92="hic_cikmadi",COUNTBLANK(L92)=0),"hic_cikmadi ama tur yazili",IF(AND(R92="evet",K92="tutuldu"),"TAMAM - negatif cikarimina uygun","TAMAM")))))</f>
        <v/>
      </c>
    </row>
    <row r="93">
      <c r="A93" s="9" t="n"/>
      <c r="B93" s="9" t="n"/>
      <c r="C93" s="9" t="n"/>
      <c r="D93" s="9" t="n"/>
      <c r="E93" s="9" t="n"/>
      <c r="F93" s="10" t="n"/>
      <c r="G93" s="10" t="n"/>
      <c r="H93" s="9" t="n"/>
      <c r="I93" s="9" t="n"/>
      <c r="J93" s="10" t="n"/>
      <c r="K93" s="9" t="n"/>
      <c r="L93" s="9" t="n"/>
      <c r="M93" s="10" t="n"/>
      <c r="N93" s="10" t="n"/>
      <c r="O93" s="10" t="n"/>
      <c r="P93" s="9" t="n"/>
      <c r="Q93" s="10" t="n"/>
      <c r="R93" s="9" t="n"/>
      <c r="S93" s="9" t="n"/>
      <c r="T93" s="10" t="n"/>
      <c r="U93" s="11">
        <f>IF(COUNTA(A93:T93)=0,"",IF(COUNTBLANK(A93)+COUNTBLANK(B93)+COUNTBLANK(C93)+COUNTBLANK(D93)+COUNTBLANK(E93)+COUNTBLANK(H93)+COUNTBLANK(I93)+COUNTBLANK(K93)+COUNTBLANK(P93)+COUNTBLANK(R93)+COUNTBLANK(S93)&gt;0,"eksik zorunlu alan var",IF(AND(K93="tutuldu",COUNTBLANK(L93)&gt;0),"tur_video bos",IF(AND(K93="hic_cikmadi",COUNTBLANK(L93)=0),"hic_cikmadi ama tur yazili",IF(AND(R93="evet",K93="tutuldu"),"TAMAM - negatif cikarimina uygun","TAMAM")))))</f>
        <v/>
      </c>
    </row>
    <row r="94">
      <c r="A94" s="9" t="n"/>
      <c r="B94" s="9" t="n"/>
      <c r="C94" s="9" t="n"/>
      <c r="D94" s="9" t="n"/>
      <c r="E94" s="9" t="n"/>
      <c r="F94" s="10" t="n"/>
      <c r="G94" s="10" t="n"/>
      <c r="H94" s="9" t="n"/>
      <c r="I94" s="9" t="n"/>
      <c r="J94" s="10" t="n"/>
      <c r="K94" s="9" t="n"/>
      <c r="L94" s="9" t="n"/>
      <c r="M94" s="10" t="n"/>
      <c r="N94" s="10" t="n"/>
      <c r="O94" s="10" t="n"/>
      <c r="P94" s="9" t="n"/>
      <c r="Q94" s="10" t="n"/>
      <c r="R94" s="9" t="n"/>
      <c r="S94" s="9" t="n"/>
      <c r="T94" s="10" t="n"/>
      <c r="U94" s="11">
        <f>IF(COUNTA(A94:T94)=0,"",IF(COUNTBLANK(A94)+COUNTBLANK(B94)+COUNTBLANK(C94)+COUNTBLANK(D94)+COUNTBLANK(E94)+COUNTBLANK(H94)+COUNTBLANK(I94)+COUNTBLANK(K94)+COUNTBLANK(P94)+COUNTBLANK(R94)+COUNTBLANK(S94)&gt;0,"eksik zorunlu alan var",IF(AND(K94="tutuldu",COUNTBLANK(L94)&gt;0),"tur_video bos",IF(AND(K94="hic_cikmadi",COUNTBLANK(L94)=0),"hic_cikmadi ama tur yazili",IF(AND(R94="evet",K94="tutuldu"),"TAMAM - negatif cikarimina uygun","TAMAM")))))</f>
        <v/>
      </c>
    </row>
    <row r="95">
      <c r="A95" s="9" t="n"/>
      <c r="B95" s="9" t="n"/>
      <c r="C95" s="9" t="n"/>
      <c r="D95" s="9" t="n"/>
      <c r="E95" s="9" t="n"/>
      <c r="F95" s="10" t="n"/>
      <c r="G95" s="10" t="n"/>
      <c r="H95" s="9" t="n"/>
      <c r="I95" s="9" t="n"/>
      <c r="J95" s="10" t="n"/>
      <c r="K95" s="9" t="n"/>
      <c r="L95" s="9" t="n"/>
      <c r="M95" s="10" t="n"/>
      <c r="N95" s="10" t="n"/>
      <c r="O95" s="10" t="n"/>
      <c r="P95" s="9" t="n"/>
      <c r="Q95" s="10" t="n"/>
      <c r="R95" s="9" t="n"/>
      <c r="S95" s="9" t="n"/>
      <c r="T95" s="10" t="n"/>
      <c r="U95" s="11">
        <f>IF(COUNTA(A95:T95)=0,"",IF(COUNTBLANK(A95)+COUNTBLANK(B95)+COUNTBLANK(C95)+COUNTBLANK(D95)+COUNTBLANK(E95)+COUNTBLANK(H95)+COUNTBLANK(I95)+COUNTBLANK(K95)+COUNTBLANK(P95)+COUNTBLANK(R95)+COUNTBLANK(S95)&gt;0,"eksik zorunlu alan var",IF(AND(K95="tutuldu",COUNTBLANK(L95)&gt;0),"tur_video bos",IF(AND(K95="hic_cikmadi",COUNTBLANK(L95)=0),"hic_cikmadi ama tur yazili",IF(AND(R95="evet",K95="tutuldu"),"TAMAM - negatif cikarimina uygun","TAMAM")))))</f>
        <v/>
      </c>
    </row>
    <row r="96">
      <c r="A96" s="9" t="n"/>
      <c r="B96" s="9" t="n"/>
      <c r="C96" s="9" t="n"/>
      <c r="D96" s="9" t="n"/>
      <c r="E96" s="9" t="n"/>
      <c r="F96" s="10" t="n"/>
      <c r="G96" s="10" t="n"/>
      <c r="H96" s="9" t="n"/>
      <c r="I96" s="9" t="n"/>
      <c r="J96" s="10" t="n"/>
      <c r="K96" s="9" t="n"/>
      <c r="L96" s="9" t="n"/>
      <c r="M96" s="10" t="n"/>
      <c r="N96" s="10" t="n"/>
      <c r="O96" s="10" t="n"/>
      <c r="P96" s="9" t="n"/>
      <c r="Q96" s="10" t="n"/>
      <c r="R96" s="9" t="n"/>
      <c r="S96" s="9" t="n"/>
      <c r="T96" s="10" t="n"/>
      <c r="U96" s="11">
        <f>IF(COUNTA(A96:T96)=0,"",IF(COUNTBLANK(A96)+COUNTBLANK(B96)+COUNTBLANK(C96)+COUNTBLANK(D96)+COUNTBLANK(E96)+COUNTBLANK(H96)+COUNTBLANK(I96)+COUNTBLANK(K96)+COUNTBLANK(P96)+COUNTBLANK(R96)+COUNTBLANK(S96)&gt;0,"eksik zorunlu alan var",IF(AND(K96="tutuldu",COUNTBLANK(L96)&gt;0),"tur_video bos",IF(AND(K96="hic_cikmadi",COUNTBLANK(L96)=0),"hic_cikmadi ama tur yazili",IF(AND(R96="evet",K96="tutuldu"),"TAMAM - negatif cikarimina uygun","TAMAM")))))</f>
        <v/>
      </c>
    </row>
    <row r="97">
      <c r="A97" s="9" t="n"/>
      <c r="B97" s="9" t="n"/>
      <c r="C97" s="9" t="n"/>
      <c r="D97" s="9" t="n"/>
      <c r="E97" s="9" t="n"/>
      <c r="F97" s="10" t="n"/>
      <c r="G97" s="10" t="n"/>
      <c r="H97" s="9" t="n"/>
      <c r="I97" s="9" t="n"/>
      <c r="J97" s="10" t="n"/>
      <c r="K97" s="9" t="n"/>
      <c r="L97" s="9" t="n"/>
      <c r="M97" s="10" t="n"/>
      <c r="N97" s="10" t="n"/>
      <c r="O97" s="10" t="n"/>
      <c r="P97" s="9" t="n"/>
      <c r="Q97" s="10" t="n"/>
      <c r="R97" s="9" t="n"/>
      <c r="S97" s="9" t="n"/>
      <c r="T97" s="10" t="n"/>
      <c r="U97" s="11">
        <f>IF(COUNTA(A97:T97)=0,"",IF(COUNTBLANK(A97)+COUNTBLANK(B97)+COUNTBLANK(C97)+COUNTBLANK(D97)+COUNTBLANK(E97)+COUNTBLANK(H97)+COUNTBLANK(I97)+COUNTBLANK(K97)+COUNTBLANK(P97)+COUNTBLANK(R97)+COUNTBLANK(S97)&gt;0,"eksik zorunlu alan var",IF(AND(K97="tutuldu",COUNTBLANK(L97)&gt;0),"tur_video bos",IF(AND(K97="hic_cikmadi",COUNTBLANK(L97)=0),"hic_cikmadi ama tur yazili",IF(AND(R97="evet",K97="tutuldu"),"TAMAM - negatif cikarimina uygun","TAMAM")))))</f>
        <v/>
      </c>
    </row>
    <row r="98">
      <c r="A98" s="9" t="n"/>
      <c r="B98" s="9" t="n"/>
      <c r="C98" s="9" t="n"/>
      <c r="D98" s="9" t="n"/>
      <c r="E98" s="9" t="n"/>
      <c r="F98" s="10" t="n"/>
      <c r="G98" s="10" t="n"/>
      <c r="H98" s="9" t="n"/>
      <c r="I98" s="9" t="n"/>
      <c r="J98" s="10" t="n"/>
      <c r="K98" s="9" t="n"/>
      <c r="L98" s="9" t="n"/>
      <c r="M98" s="10" t="n"/>
      <c r="N98" s="10" t="n"/>
      <c r="O98" s="10" t="n"/>
      <c r="P98" s="9" t="n"/>
      <c r="Q98" s="10" t="n"/>
      <c r="R98" s="9" t="n"/>
      <c r="S98" s="9" t="n"/>
      <c r="T98" s="10" t="n"/>
      <c r="U98" s="11">
        <f>IF(COUNTA(A98:T98)=0,"",IF(COUNTBLANK(A98)+COUNTBLANK(B98)+COUNTBLANK(C98)+COUNTBLANK(D98)+COUNTBLANK(E98)+COUNTBLANK(H98)+COUNTBLANK(I98)+COUNTBLANK(K98)+COUNTBLANK(P98)+COUNTBLANK(R98)+COUNTBLANK(S98)&gt;0,"eksik zorunlu alan var",IF(AND(K98="tutuldu",COUNTBLANK(L98)&gt;0),"tur_video bos",IF(AND(K98="hic_cikmadi",COUNTBLANK(L98)=0),"hic_cikmadi ama tur yazili",IF(AND(R98="evet",K98="tutuldu"),"TAMAM - negatif cikarimina uygun","TAMAM")))))</f>
        <v/>
      </c>
    </row>
    <row r="99">
      <c r="A99" s="9" t="n"/>
      <c r="B99" s="9" t="n"/>
      <c r="C99" s="9" t="n"/>
      <c r="D99" s="9" t="n"/>
      <c r="E99" s="9" t="n"/>
      <c r="F99" s="10" t="n"/>
      <c r="G99" s="10" t="n"/>
      <c r="H99" s="9" t="n"/>
      <c r="I99" s="9" t="n"/>
      <c r="J99" s="10" t="n"/>
      <c r="K99" s="9" t="n"/>
      <c r="L99" s="9" t="n"/>
      <c r="M99" s="10" t="n"/>
      <c r="N99" s="10" t="n"/>
      <c r="O99" s="10" t="n"/>
      <c r="P99" s="9" t="n"/>
      <c r="Q99" s="10" t="n"/>
      <c r="R99" s="9" t="n"/>
      <c r="S99" s="9" t="n"/>
      <c r="T99" s="10" t="n"/>
      <c r="U99" s="11">
        <f>IF(COUNTA(A99:T99)=0,"",IF(COUNTBLANK(A99)+COUNTBLANK(B99)+COUNTBLANK(C99)+COUNTBLANK(D99)+COUNTBLANK(E99)+COUNTBLANK(H99)+COUNTBLANK(I99)+COUNTBLANK(K99)+COUNTBLANK(P99)+COUNTBLANK(R99)+COUNTBLANK(S99)&gt;0,"eksik zorunlu alan var",IF(AND(K99="tutuldu",COUNTBLANK(L99)&gt;0),"tur_video bos",IF(AND(K99="hic_cikmadi",COUNTBLANK(L99)=0),"hic_cikmadi ama tur yazili",IF(AND(R99="evet",K99="tutuldu"),"TAMAM - negatif cikarimina uygun","TAMAM")))))</f>
        <v/>
      </c>
    </row>
    <row r="100">
      <c r="A100" s="9" t="n"/>
      <c r="B100" s="9" t="n"/>
      <c r="C100" s="9" t="n"/>
      <c r="D100" s="9" t="n"/>
      <c r="E100" s="9" t="n"/>
      <c r="F100" s="10" t="n"/>
      <c r="G100" s="10" t="n"/>
      <c r="H100" s="9" t="n"/>
      <c r="I100" s="9" t="n"/>
      <c r="J100" s="10" t="n"/>
      <c r="K100" s="9" t="n"/>
      <c r="L100" s="9" t="n"/>
      <c r="M100" s="10" t="n"/>
      <c r="N100" s="10" t="n"/>
      <c r="O100" s="10" t="n"/>
      <c r="P100" s="9" t="n"/>
      <c r="Q100" s="10" t="n"/>
      <c r="R100" s="9" t="n"/>
      <c r="S100" s="9" t="n"/>
      <c r="T100" s="10" t="n"/>
      <c r="U100" s="11">
        <f>IF(COUNTA(A100:T100)=0,"",IF(COUNTBLANK(A100)+COUNTBLANK(B100)+COUNTBLANK(C100)+COUNTBLANK(D100)+COUNTBLANK(E100)+COUNTBLANK(H100)+COUNTBLANK(I100)+COUNTBLANK(K100)+COUNTBLANK(P100)+COUNTBLANK(R100)+COUNTBLANK(S100)&gt;0,"eksik zorunlu alan var",IF(AND(K100="tutuldu",COUNTBLANK(L100)&gt;0),"tur_video bos",IF(AND(K100="hic_cikmadi",COUNTBLANK(L100)=0),"hic_cikmadi ama tur yazili",IF(AND(R100="evet",K100="tutuldu"),"TAMAM - negatif cikarimina uygun","TAMAM")))))</f>
        <v/>
      </c>
    </row>
    <row r="101">
      <c r="A101" s="9" t="n"/>
      <c r="B101" s="9" t="n"/>
      <c r="C101" s="9" t="n"/>
      <c r="D101" s="9" t="n"/>
      <c r="E101" s="9" t="n"/>
      <c r="F101" s="10" t="n"/>
      <c r="G101" s="10" t="n"/>
      <c r="H101" s="9" t="n"/>
      <c r="I101" s="9" t="n"/>
      <c r="J101" s="10" t="n"/>
      <c r="K101" s="9" t="n"/>
      <c r="L101" s="9" t="n"/>
      <c r="M101" s="10" t="n"/>
      <c r="N101" s="10" t="n"/>
      <c r="O101" s="10" t="n"/>
      <c r="P101" s="9" t="n"/>
      <c r="Q101" s="10" t="n"/>
      <c r="R101" s="9" t="n"/>
      <c r="S101" s="9" t="n"/>
      <c r="T101" s="10" t="n"/>
      <c r="U101" s="11">
        <f>IF(COUNTA(A101:T101)=0,"",IF(COUNTBLANK(A101)+COUNTBLANK(B101)+COUNTBLANK(C101)+COUNTBLANK(D101)+COUNTBLANK(E101)+COUNTBLANK(H101)+COUNTBLANK(I101)+COUNTBLANK(K101)+COUNTBLANK(P101)+COUNTBLANK(R101)+COUNTBLANK(S101)&gt;0,"eksik zorunlu alan var",IF(AND(K101="tutuldu",COUNTBLANK(L101)&gt;0),"tur_video bos",IF(AND(K101="hic_cikmadi",COUNTBLANK(L101)=0),"hic_cikmadi ama tur yazili",IF(AND(R101="evet",K101="tutuldu"),"TAMAM - negatif cikarimina uygun","TAMAM")))))</f>
        <v/>
      </c>
    </row>
    <row r="102">
      <c r="A102" s="9" t="n"/>
      <c r="B102" s="9" t="n"/>
      <c r="C102" s="9" t="n"/>
      <c r="D102" s="9" t="n"/>
      <c r="E102" s="9" t="n"/>
      <c r="F102" s="10" t="n"/>
      <c r="G102" s="10" t="n"/>
      <c r="H102" s="9" t="n"/>
      <c r="I102" s="9" t="n"/>
      <c r="J102" s="10" t="n"/>
      <c r="K102" s="9" t="n"/>
      <c r="L102" s="9" t="n"/>
      <c r="M102" s="10" t="n"/>
      <c r="N102" s="10" t="n"/>
      <c r="O102" s="10" t="n"/>
      <c r="P102" s="9" t="n"/>
      <c r="Q102" s="10" t="n"/>
      <c r="R102" s="9" t="n"/>
      <c r="S102" s="9" t="n"/>
      <c r="T102" s="10" t="n"/>
      <c r="U102" s="11">
        <f>IF(COUNTA(A102:T102)=0,"",IF(COUNTBLANK(A102)+COUNTBLANK(B102)+COUNTBLANK(C102)+COUNTBLANK(D102)+COUNTBLANK(E102)+COUNTBLANK(H102)+COUNTBLANK(I102)+COUNTBLANK(K102)+COUNTBLANK(P102)+COUNTBLANK(R102)+COUNTBLANK(S102)&gt;0,"eksik zorunlu alan var",IF(AND(K102="tutuldu",COUNTBLANK(L102)&gt;0),"tur_video bos",IF(AND(K102="hic_cikmadi",COUNTBLANK(L102)=0),"hic_cikmadi ama tur yazili",IF(AND(R102="evet",K102="tutuldu"),"TAMAM - negatif cikarimina uygun","TAMAM")))))</f>
        <v/>
      </c>
    </row>
    <row r="103">
      <c r="A103" s="9" t="n"/>
      <c r="B103" s="9" t="n"/>
      <c r="C103" s="9" t="n"/>
      <c r="D103" s="9" t="n"/>
      <c r="E103" s="9" t="n"/>
      <c r="F103" s="10" t="n"/>
      <c r="G103" s="10" t="n"/>
      <c r="H103" s="9" t="n"/>
      <c r="I103" s="9" t="n"/>
      <c r="J103" s="10" t="n"/>
      <c r="K103" s="9" t="n"/>
      <c r="L103" s="9" t="n"/>
      <c r="M103" s="10" t="n"/>
      <c r="N103" s="10" t="n"/>
      <c r="O103" s="10" t="n"/>
      <c r="P103" s="9" t="n"/>
      <c r="Q103" s="10" t="n"/>
      <c r="R103" s="9" t="n"/>
      <c r="S103" s="9" t="n"/>
      <c r="T103" s="10" t="n"/>
      <c r="U103" s="11">
        <f>IF(COUNTA(A103:T103)=0,"",IF(COUNTBLANK(A103)+COUNTBLANK(B103)+COUNTBLANK(C103)+COUNTBLANK(D103)+COUNTBLANK(E103)+COUNTBLANK(H103)+COUNTBLANK(I103)+COUNTBLANK(K103)+COUNTBLANK(P103)+COUNTBLANK(R103)+COUNTBLANK(S103)&gt;0,"eksik zorunlu alan var",IF(AND(K103="tutuldu",COUNTBLANK(L103)&gt;0),"tur_video bos",IF(AND(K103="hic_cikmadi",COUNTBLANK(L103)=0),"hic_cikmadi ama tur yazili",IF(AND(R103="evet",K103="tutuldu"),"TAMAM - negatif cikarimina uygun","TAMAM")))))</f>
        <v/>
      </c>
    </row>
    <row r="104">
      <c r="A104" s="9" t="n"/>
      <c r="B104" s="9" t="n"/>
      <c r="C104" s="9" t="n"/>
      <c r="D104" s="9" t="n"/>
      <c r="E104" s="9" t="n"/>
      <c r="F104" s="10" t="n"/>
      <c r="G104" s="10" t="n"/>
      <c r="H104" s="9" t="n"/>
      <c r="I104" s="9" t="n"/>
      <c r="J104" s="10" t="n"/>
      <c r="K104" s="9" t="n"/>
      <c r="L104" s="9" t="n"/>
      <c r="M104" s="10" t="n"/>
      <c r="N104" s="10" t="n"/>
      <c r="O104" s="10" t="n"/>
      <c r="P104" s="9" t="n"/>
      <c r="Q104" s="10" t="n"/>
      <c r="R104" s="9" t="n"/>
      <c r="S104" s="9" t="n"/>
      <c r="T104" s="10" t="n"/>
      <c r="U104" s="11">
        <f>IF(COUNTA(A104:T104)=0,"",IF(COUNTBLANK(A104)+COUNTBLANK(B104)+COUNTBLANK(C104)+COUNTBLANK(D104)+COUNTBLANK(E104)+COUNTBLANK(H104)+COUNTBLANK(I104)+COUNTBLANK(K104)+COUNTBLANK(P104)+COUNTBLANK(R104)+COUNTBLANK(S104)&gt;0,"eksik zorunlu alan var",IF(AND(K104="tutuldu",COUNTBLANK(L104)&gt;0),"tur_video bos",IF(AND(K104="hic_cikmadi",COUNTBLANK(L104)=0),"hic_cikmadi ama tur yazili",IF(AND(R104="evet",K104="tutuldu"),"TAMAM - negatif cikarimina uygun","TAMAM")))))</f>
        <v/>
      </c>
    </row>
    <row r="105">
      <c r="A105" s="9" t="n"/>
      <c r="B105" s="9" t="n"/>
      <c r="C105" s="9" t="n"/>
      <c r="D105" s="9" t="n"/>
      <c r="E105" s="9" t="n"/>
      <c r="F105" s="10" t="n"/>
      <c r="G105" s="10" t="n"/>
      <c r="H105" s="9" t="n"/>
      <c r="I105" s="9" t="n"/>
      <c r="J105" s="10" t="n"/>
      <c r="K105" s="9" t="n"/>
      <c r="L105" s="9" t="n"/>
      <c r="M105" s="10" t="n"/>
      <c r="N105" s="10" t="n"/>
      <c r="O105" s="10" t="n"/>
      <c r="P105" s="9" t="n"/>
      <c r="Q105" s="10" t="n"/>
      <c r="R105" s="9" t="n"/>
      <c r="S105" s="9" t="n"/>
      <c r="T105" s="10" t="n"/>
      <c r="U105" s="11">
        <f>IF(COUNTA(A105:T105)=0,"",IF(COUNTBLANK(A105)+COUNTBLANK(B105)+COUNTBLANK(C105)+COUNTBLANK(D105)+COUNTBLANK(E105)+COUNTBLANK(H105)+COUNTBLANK(I105)+COUNTBLANK(K105)+COUNTBLANK(P105)+COUNTBLANK(R105)+COUNTBLANK(S105)&gt;0,"eksik zorunlu alan var",IF(AND(K105="tutuldu",COUNTBLANK(L105)&gt;0),"tur_video bos",IF(AND(K105="hic_cikmadi",COUNTBLANK(L105)=0),"hic_cikmadi ama tur yazili",IF(AND(R105="evet",K105="tutuldu"),"TAMAM - negatif cikarimina uygun","TAMAM")))))</f>
        <v/>
      </c>
    </row>
    <row r="106">
      <c r="A106" s="9" t="n"/>
      <c r="B106" s="9" t="n"/>
      <c r="C106" s="9" t="n"/>
      <c r="D106" s="9" t="n"/>
      <c r="E106" s="9" t="n"/>
      <c r="F106" s="10" t="n"/>
      <c r="G106" s="10" t="n"/>
      <c r="H106" s="9" t="n"/>
      <c r="I106" s="9" t="n"/>
      <c r="J106" s="10" t="n"/>
      <c r="K106" s="9" t="n"/>
      <c r="L106" s="9" t="n"/>
      <c r="M106" s="10" t="n"/>
      <c r="N106" s="10" t="n"/>
      <c r="O106" s="10" t="n"/>
      <c r="P106" s="9" t="n"/>
      <c r="Q106" s="10" t="n"/>
      <c r="R106" s="9" t="n"/>
      <c r="S106" s="9" t="n"/>
      <c r="T106" s="10" t="n"/>
      <c r="U106" s="11">
        <f>IF(COUNTA(A106:T106)=0,"",IF(COUNTBLANK(A106)+COUNTBLANK(B106)+COUNTBLANK(C106)+COUNTBLANK(D106)+COUNTBLANK(E106)+COUNTBLANK(H106)+COUNTBLANK(I106)+COUNTBLANK(K106)+COUNTBLANK(P106)+COUNTBLANK(R106)+COUNTBLANK(S106)&gt;0,"eksik zorunlu alan var",IF(AND(K106="tutuldu",COUNTBLANK(L106)&gt;0),"tur_video bos",IF(AND(K106="hic_cikmadi",COUNTBLANK(L106)=0),"hic_cikmadi ama tur yazili",IF(AND(R106="evet",K106="tutuldu"),"TAMAM - negatif cikarimina uygun","TAMAM")))))</f>
        <v/>
      </c>
    </row>
    <row r="107">
      <c r="A107" s="9" t="n"/>
      <c r="B107" s="9" t="n"/>
      <c r="C107" s="9" t="n"/>
      <c r="D107" s="9" t="n"/>
      <c r="E107" s="9" t="n"/>
      <c r="F107" s="10" t="n"/>
      <c r="G107" s="10" t="n"/>
      <c r="H107" s="9" t="n"/>
      <c r="I107" s="9" t="n"/>
      <c r="J107" s="10" t="n"/>
      <c r="K107" s="9" t="n"/>
      <c r="L107" s="9" t="n"/>
      <c r="M107" s="10" t="n"/>
      <c r="N107" s="10" t="n"/>
      <c r="O107" s="10" t="n"/>
      <c r="P107" s="9" t="n"/>
      <c r="Q107" s="10" t="n"/>
      <c r="R107" s="9" t="n"/>
      <c r="S107" s="9" t="n"/>
      <c r="T107" s="10" t="n"/>
      <c r="U107" s="11">
        <f>IF(COUNTA(A107:T107)=0,"",IF(COUNTBLANK(A107)+COUNTBLANK(B107)+COUNTBLANK(C107)+COUNTBLANK(D107)+COUNTBLANK(E107)+COUNTBLANK(H107)+COUNTBLANK(I107)+COUNTBLANK(K107)+COUNTBLANK(P107)+COUNTBLANK(R107)+COUNTBLANK(S107)&gt;0,"eksik zorunlu alan var",IF(AND(K107="tutuldu",COUNTBLANK(L107)&gt;0),"tur_video bos",IF(AND(K107="hic_cikmadi",COUNTBLANK(L107)=0),"hic_cikmadi ama tur yazili",IF(AND(R107="evet",K107="tutuldu"),"TAMAM - negatif cikarimina uygun","TAMAM")))))</f>
        <v/>
      </c>
    </row>
    <row r="108">
      <c r="A108" s="9" t="n"/>
      <c r="B108" s="9" t="n"/>
      <c r="C108" s="9" t="n"/>
      <c r="D108" s="9" t="n"/>
      <c r="E108" s="9" t="n"/>
      <c r="F108" s="10" t="n"/>
      <c r="G108" s="10" t="n"/>
      <c r="H108" s="9" t="n"/>
      <c r="I108" s="9" t="n"/>
      <c r="J108" s="10" t="n"/>
      <c r="K108" s="9" t="n"/>
      <c r="L108" s="9" t="n"/>
      <c r="M108" s="10" t="n"/>
      <c r="N108" s="10" t="n"/>
      <c r="O108" s="10" t="n"/>
      <c r="P108" s="9" t="n"/>
      <c r="Q108" s="10" t="n"/>
      <c r="R108" s="9" t="n"/>
      <c r="S108" s="9" t="n"/>
      <c r="T108" s="10" t="n"/>
      <c r="U108" s="11">
        <f>IF(COUNTA(A108:T108)=0,"",IF(COUNTBLANK(A108)+COUNTBLANK(B108)+COUNTBLANK(C108)+COUNTBLANK(D108)+COUNTBLANK(E108)+COUNTBLANK(H108)+COUNTBLANK(I108)+COUNTBLANK(K108)+COUNTBLANK(P108)+COUNTBLANK(R108)+COUNTBLANK(S108)&gt;0,"eksik zorunlu alan var",IF(AND(K108="tutuldu",COUNTBLANK(L108)&gt;0),"tur_video bos",IF(AND(K108="hic_cikmadi",COUNTBLANK(L108)=0),"hic_cikmadi ama tur yazili",IF(AND(R108="evet",K108="tutuldu"),"TAMAM - negatif cikarimina uygun","TAMAM")))))</f>
        <v/>
      </c>
    </row>
    <row r="109">
      <c r="A109" s="9" t="n"/>
      <c r="B109" s="9" t="n"/>
      <c r="C109" s="9" t="n"/>
      <c r="D109" s="9" t="n"/>
      <c r="E109" s="9" t="n"/>
      <c r="F109" s="10" t="n"/>
      <c r="G109" s="10" t="n"/>
      <c r="H109" s="9" t="n"/>
      <c r="I109" s="9" t="n"/>
      <c r="J109" s="10" t="n"/>
      <c r="K109" s="9" t="n"/>
      <c r="L109" s="9" t="n"/>
      <c r="M109" s="10" t="n"/>
      <c r="N109" s="10" t="n"/>
      <c r="O109" s="10" t="n"/>
      <c r="P109" s="9" t="n"/>
      <c r="Q109" s="10" t="n"/>
      <c r="R109" s="9" t="n"/>
      <c r="S109" s="9" t="n"/>
      <c r="T109" s="10" t="n"/>
      <c r="U109" s="11">
        <f>IF(COUNTA(A109:T109)=0,"",IF(COUNTBLANK(A109)+COUNTBLANK(B109)+COUNTBLANK(C109)+COUNTBLANK(D109)+COUNTBLANK(E109)+COUNTBLANK(H109)+COUNTBLANK(I109)+COUNTBLANK(K109)+COUNTBLANK(P109)+COUNTBLANK(R109)+COUNTBLANK(S109)&gt;0,"eksik zorunlu alan var",IF(AND(K109="tutuldu",COUNTBLANK(L109)&gt;0),"tur_video bos",IF(AND(K109="hic_cikmadi",COUNTBLANK(L109)=0),"hic_cikmadi ama tur yazili",IF(AND(R109="evet",K109="tutuldu"),"TAMAM - negatif cikarimina uygun","TAMAM")))))</f>
        <v/>
      </c>
    </row>
    <row r="110">
      <c r="A110" s="9" t="n"/>
      <c r="B110" s="9" t="n"/>
      <c r="C110" s="9" t="n"/>
      <c r="D110" s="9" t="n"/>
      <c r="E110" s="9" t="n"/>
      <c r="F110" s="10" t="n"/>
      <c r="G110" s="10" t="n"/>
      <c r="H110" s="9" t="n"/>
      <c r="I110" s="9" t="n"/>
      <c r="J110" s="10" t="n"/>
      <c r="K110" s="9" t="n"/>
      <c r="L110" s="9" t="n"/>
      <c r="M110" s="10" t="n"/>
      <c r="N110" s="10" t="n"/>
      <c r="O110" s="10" t="n"/>
      <c r="P110" s="9" t="n"/>
      <c r="Q110" s="10" t="n"/>
      <c r="R110" s="9" t="n"/>
      <c r="S110" s="9" t="n"/>
      <c r="T110" s="10" t="n"/>
      <c r="U110" s="11">
        <f>IF(COUNTA(A110:T110)=0,"",IF(COUNTBLANK(A110)+COUNTBLANK(B110)+COUNTBLANK(C110)+COUNTBLANK(D110)+COUNTBLANK(E110)+COUNTBLANK(H110)+COUNTBLANK(I110)+COUNTBLANK(K110)+COUNTBLANK(P110)+COUNTBLANK(R110)+COUNTBLANK(S110)&gt;0,"eksik zorunlu alan var",IF(AND(K110="tutuldu",COUNTBLANK(L110)&gt;0),"tur_video bos",IF(AND(K110="hic_cikmadi",COUNTBLANK(L110)=0),"hic_cikmadi ama tur yazili",IF(AND(R110="evet",K110="tutuldu"),"TAMAM - negatif cikarimina uygun","TAMAM")))))</f>
        <v/>
      </c>
    </row>
    <row r="111">
      <c r="A111" s="9" t="n"/>
      <c r="B111" s="9" t="n"/>
      <c r="C111" s="9" t="n"/>
      <c r="D111" s="9" t="n"/>
      <c r="E111" s="9" t="n"/>
      <c r="F111" s="10" t="n"/>
      <c r="G111" s="10" t="n"/>
      <c r="H111" s="9" t="n"/>
      <c r="I111" s="9" t="n"/>
      <c r="J111" s="10" t="n"/>
      <c r="K111" s="9" t="n"/>
      <c r="L111" s="9" t="n"/>
      <c r="M111" s="10" t="n"/>
      <c r="N111" s="10" t="n"/>
      <c r="O111" s="10" t="n"/>
      <c r="P111" s="9" t="n"/>
      <c r="Q111" s="10" t="n"/>
      <c r="R111" s="9" t="n"/>
      <c r="S111" s="9" t="n"/>
      <c r="T111" s="10" t="n"/>
      <c r="U111" s="11">
        <f>IF(COUNTA(A111:T111)=0,"",IF(COUNTBLANK(A111)+COUNTBLANK(B111)+COUNTBLANK(C111)+COUNTBLANK(D111)+COUNTBLANK(E111)+COUNTBLANK(H111)+COUNTBLANK(I111)+COUNTBLANK(K111)+COUNTBLANK(P111)+COUNTBLANK(R111)+COUNTBLANK(S111)&gt;0,"eksik zorunlu alan var",IF(AND(K111="tutuldu",COUNTBLANK(L111)&gt;0),"tur_video bos",IF(AND(K111="hic_cikmadi",COUNTBLANK(L111)=0),"hic_cikmadi ama tur yazili",IF(AND(R111="evet",K111="tutuldu"),"TAMAM - negatif cikarimina uygun","TAMAM")))))</f>
        <v/>
      </c>
    </row>
    <row r="112">
      <c r="A112" s="9" t="n"/>
      <c r="B112" s="9" t="n"/>
      <c r="C112" s="9" t="n"/>
      <c r="D112" s="9" t="n"/>
      <c r="E112" s="9" t="n"/>
      <c r="F112" s="10" t="n"/>
      <c r="G112" s="10" t="n"/>
      <c r="H112" s="9" t="n"/>
      <c r="I112" s="9" t="n"/>
      <c r="J112" s="10" t="n"/>
      <c r="K112" s="9" t="n"/>
      <c r="L112" s="9" t="n"/>
      <c r="M112" s="10" t="n"/>
      <c r="N112" s="10" t="n"/>
      <c r="O112" s="10" t="n"/>
      <c r="P112" s="9" t="n"/>
      <c r="Q112" s="10" t="n"/>
      <c r="R112" s="9" t="n"/>
      <c r="S112" s="9" t="n"/>
      <c r="T112" s="10" t="n"/>
      <c r="U112" s="11">
        <f>IF(COUNTA(A112:T112)=0,"",IF(COUNTBLANK(A112)+COUNTBLANK(B112)+COUNTBLANK(C112)+COUNTBLANK(D112)+COUNTBLANK(E112)+COUNTBLANK(H112)+COUNTBLANK(I112)+COUNTBLANK(K112)+COUNTBLANK(P112)+COUNTBLANK(R112)+COUNTBLANK(S112)&gt;0,"eksik zorunlu alan var",IF(AND(K112="tutuldu",COUNTBLANK(L112)&gt;0),"tur_video bos",IF(AND(K112="hic_cikmadi",COUNTBLANK(L112)=0),"hic_cikmadi ama tur yazili",IF(AND(R112="evet",K112="tutuldu"),"TAMAM - negatif cikarimina uygun","TAMAM")))))</f>
        <v/>
      </c>
    </row>
    <row r="113">
      <c r="A113" s="9" t="n"/>
      <c r="B113" s="9" t="n"/>
      <c r="C113" s="9" t="n"/>
      <c r="D113" s="9" t="n"/>
      <c r="E113" s="9" t="n"/>
      <c r="F113" s="10" t="n"/>
      <c r="G113" s="10" t="n"/>
      <c r="H113" s="9" t="n"/>
      <c r="I113" s="9" t="n"/>
      <c r="J113" s="10" t="n"/>
      <c r="K113" s="9" t="n"/>
      <c r="L113" s="9" t="n"/>
      <c r="M113" s="10" t="n"/>
      <c r="N113" s="10" t="n"/>
      <c r="O113" s="10" t="n"/>
      <c r="P113" s="9" t="n"/>
      <c r="Q113" s="10" t="n"/>
      <c r="R113" s="9" t="n"/>
      <c r="S113" s="9" t="n"/>
      <c r="T113" s="10" t="n"/>
      <c r="U113" s="11">
        <f>IF(COUNTA(A113:T113)=0,"",IF(COUNTBLANK(A113)+COUNTBLANK(B113)+COUNTBLANK(C113)+COUNTBLANK(D113)+COUNTBLANK(E113)+COUNTBLANK(H113)+COUNTBLANK(I113)+COUNTBLANK(K113)+COUNTBLANK(P113)+COUNTBLANK(R113)+COUNTBLANK(S113)&gt;0,"eksik zorunlu alan var",IF(AND(K113="tutuldu",COUNTBLANK(L113)&gt;0),"tur_video bos",IF(AND(K113="hic_cikmadi",COUNTBLANK(L113)=0),"hic_cikmadi ama tur yazili",IF(AND(R113="evet",K113="tutuldu"),"TAMAM - negatif cikarimina uygun","TAMAM")))))</f>
        <v/>
      </c>
    </row>
    <row r="114">
      <c r="A114" s="9" t="n"/>
      <c r="B114" s="9" t="n"/>
      <c r="C114" s="9" t="n"/>
      <c r="D114" s="9" t="n"/>
      <c r="E114" s="9" t="n"/>
      <c r="F114" s="10" t="n"/>
      <c r="G114" s="10" t="n"/>
      <c r="H114" s="9" t="n"/>
      <c r="I114" s="9" t="n"/>
      <c r="J114" s="10" t="n"/>
      <c r="K114" s="9" t="n"/>
      <c r="L114" s="9" t="n"/>
      <c r="M114" s="10" t="n"/>
      <c r="N114" s="10" t="n"/>
      <c r="O114" s="10" t="n"/>
      <c r="P114" s="9" t="n"/>
      <c r="Q114" s="10" t="n"/>
      <c r="R114" s="9" t="n"/>
      <c r="S114" s="9" t="n"/>
      <c r="T114" s="10" t="n"/>
      <c r="U114" s="11">
        <f>IF(COUNTA(A114:T114)=0,"",IF(COUNTBLANK(A114)+COUNTBLANK(B114)+COUNTBLANK(C114)+COUNTBLANK(D114)+COUNTBLANK(E114)+COUNTBLANK(H114)+COUNTBLANK(I114)+COUNTBLANK(K114)+COUNTBLANK(P114)+COUNTBLANK(R114)+COUNTBLANK(S114)&gt;0,"eksik zorunlu alan var",IF(AND(K114="tutuldu",COUNTBLANK(L114)&gt;0),"tur_video bos",IF(AND(K114="hic_cikmadi",COUNTBLANK(L114)=0),"hic_cikmadi ama tur yazili",IF(AND(R114="evet",K114="tutuldu"),"TAMAM - negatif cikarimina uygun","TAMAM")))))</f>
        <v/>
      </c>
    </row>
    <row r="115">
      <c r="A115" s="9" t="n"/>
      <c r="B115" s="9" t="n"/>
      <c r="C115" s="9" t="n"/>
      <c r="D115" s="9" t="n"/>
      <c r="E115" s="9" t="n"/>
      <c r="F115" s="10" t="n"/>
      <c r="G115" s="10" t="n"/>
      <c r="H115" s="9" t="n"/>
      <c r="I115" s="9" t="n"/>
      <c r="J115" s="10" t="n"/>
      <c r="K115" s="9" t="n"/>
      <c r="L115" s="9" t="n"/>
      <c r="M115" s="10" t="n"/>
      <c r="N115" s="10" t="n"/>
      <c r="O115" s="10" t="n"/>
      <c r="P115" s="9" t="n"/>
      <c r="Q115" s="10" t="n"/>
      <c r="R115" s="9" t="n"/>
      <c r="S115" s="9" t="n"/>
      <c r="T115" s="10" t="n"/>
      <c r="U115" s="11">
        <f>IF(COUNTA(A115:T115)=0,"",IF(COUNTBLANK(A115)+COUNTBLANK(B115)+COUNTBLANK(C115)+COUNTBLANK(D115)+COUNTBLANK(E115)+COUNTBLANK(H115)+COUNTBLANK(I115)+COUNTBLANK(K115)+COUNTBLANK(P115)+COUNTBLANK(R115)+COUNTBLANK(S115)&gt;0,"eksik zorunlu alan var",IF(AND(K115="tutuldu",COUNTBLANK(L115)&gt;0),"tur_video bos",IF(AND(K115="hic_cikmadi",COUNTBLANK(L115)=0),"hic_cikmadi ama tur yazili",IF(AND(R115="evet",K115="tutuldu"),"TAMAM - negatif cikarimina uygun","TAMAM")))))</f>
        <v/>
      </c>
    </row>
    <row r="116">
      <c r="A116" s="9" t="n"/>
      <c r="B116" s="9" t="n"/>
      <c r="C116" s="9" t="n"/>
      <c r="D116" s="9" t="n"/>
      <c r="E116" s="9" t="n"/>
      <c r="F116" s="10" t="n"/>
      <c r="G116" s="10" t="n"/>
      <c r="H116" s="9" t="n"/>
      <c r="I116" s="9" t="n"/>
      <c r="J116" s="10" t="n"/>
      <c r="K116" s="9" t="n"/>
      <c r="L116" s="9" t="n"/>
      <c r="M116" s="10" t="n"/>
      <c r="N116" s="10" t="n"/>
      <c r="O116" s="10" t="n"/>
      <c r="P116" s="9" t="n"/>
      <c r="Q116" s="10" t="n"/>
      <c r="R116" s="9" t="n"/>
      <c r="S116" s="9" t="n"/>
      <c r="T116" s="10" t="n"/>
      <c r="U116" s="11">
        <f>IF(COUNTA(A116:T116)=0,"",IF(COUNTBLANK(A116)+COUNTBLANK(B116)+COUNTBLANK(C116)+COUNTBLANK(D116)+COUNTBLANK(E116)+COUNTBLANK(H116)+COUNTBLANK(I116)+COUNTBLANK(K116)+COUNTBLANK(P116)+COUNTBLANK(R116)+COUNTBLANK(S116)&gt;0,"eksik zorunlu alan var",IF(AND(K116="tutuldu",COUNTBLANK(L116)&gt;0),"tur_video bos",IF(AND(K116="hic_cikmadi",COUNTBLANK(L116)=0),"hic_cikmadi ama tur yazili",IF(AND(R116="evet",K116="tutuldu"),"TAMAM - negatif cikarimina uygun","TAMAM")))))</f>
        <v/>
      </c>
    </row>
    <row r="117">
      <c r="A117" s="9" t="n"/>
      <c r="B117" s="9" t="n"/>
      <c r="C117" s="9" t="n"/>
      <c r="D117" s="9" t="n"/>
      <c r="E117" s="9" t="n"/>
      <c r="F117" s="10" t="n"/>
      <c r="G117" s="10" t="n"/>
      <c r="H117" s="9" t="n"/>
      <c r="I117" s="9" t="n"/>
      <c r="J117" s="10" t="n"/>
      <c r="K117" s="9" t="n"/>
      <c r="L117" s="9" t="n"/>
      <c r="M117" s="10" t="n"/>
      <c r="N117" s="10" t="n"/>
      <c r="O117" s="10" t="n"/>
      <c r="P117" s="9" t="n"/>
      <c r="Q117" s="10" t="n"/>
      <c r="R117" s="9" t="n"/>
      <c r="S117" s="9" t="n"/>
      <c r="T117" s="10" t="n"/>
      <c r="U117" s="11">
        <f>IF(COUNTA(A117:T117)=0,"",IF(COUNTBLANK(A117)+COUNTBLANK(B117)+COUNTBLANK(C117)+COUNTBLANK(D117)+COUNTBLANK(E117)+COUNTBLANK(H117)+COUNTBLANK(I117)+COUNTBLANK(K117)+COUNTBLANK(P117)+COUNTBLANK(R117)+COUNTBLANK(S117)&gt;0,"eksik zorunlu alan var",IF(AND(K117="tutuldu",COUNTBLANK(L117)&gt;0),"tur_video bos",IF(AND(K117="hic_cikmadi",COUNTBLANK(L117)=0),"hic_cikmadi ama tur yazili",IF(AND(R117="evet",K117="tutuldu"),"TAMAM - negatif cikarimina uygun","TAMAM")))))</f>
        <v/>
      </c>
    </row>
    <row r="118">
      <c r="A118" s="9" t="n"/>
      <c r="B118" s="9" t="n"/>
      <c r="C118" s="9" t="n"/>
      <c r="D118" s="9" t="n"/>
      <c r="E118" s="9" t="n"/>
      <c r="F118" s="10" t="n"/>
      <c r="G118" s="10" t="n"/>
      <c r="H118" s="9" t="n"/>
      <c r="I118" s="9" t="n"/>
      <c r="J118" s="10" t="n"/>
      <c r="K118" s="9" t="n"/>
      <c r="L118" s="9" t="n"/>
      <c r="M118" s="10" t="n"/>
      <c r="N118" s="10" t="n"/>
      <c r="O118" s="10" t="n"/>
      <c r="P118" s="9" t="n"/>
      <c r="Q118" s="10" t="n"/>
      <c r="R118" s="9" t="n"/>
      <c r="S118" s="9" t="n"/>
      <c r="T118" s="10" t="n"/>
      <c r="U118" s="11">
        <f>IF(COUNTA(A118:T118)=0,"",IF(COUNTBLANK(A118)+COUNTBLANK(B118)+COUNTBLANK(C118)+COUNTBLANK(D118)+COUNTBLANK(E118)+COUNTBLANK(H118)+COUNTBLANK(I118)+COUNTBLANK(K118)+COUNTBLANK(P118)+COUNTBLANK(R118)+COUNTBLANK(S118)&gt;0,"eksik zorunlu alan var",IF(AND(K118="tutuldu",COUNTBLANK(L118)&gt;0),"tur_video bos",IF(AND(K118="hic_cikmadi",COUNTBLANK(L118)=0),"hic_cikmadi ama tur yazili",IF(AND(R118="evet",K118="tutuldu"),"TAMAM - negatif cikarimina uygun","TAMAM")))))</f>
        <v/>
      </c>
    </row>
    <row r="119">
      <c r="A119" s="9" t="n"/>
      <c r="B119" s="9" t="n"/>
      <c r="C119" s="9" t="n"/>
      <c r="D119" s="9" t="n"/>
      <c r="E119" s="9" t="n"/>
      <c r="F119" s="10" t="n"/>
      <c r="G119" s="10" t="n"/>
      <c r="H119" s="9" t="n"/>
      <c r="I119" s="9" t="n"/>
      <c r="J119" s="10" t="n"/>
      <c r="K119" s="9" t="n"/>
      <c r="L119" s="9" t="n"/>
      <c r="M119" s="10" t="n"/>
      <c r="N119" s="10" t="n"/>
      <c r="O119" s="10" t="n"/>
      <c r="P119" s="9" t="n"/>
      <c r="Q119" s="10" t="n"/>
      <c r="R119" s="9" t="n"/>
      <c r="S119" s="9" t="n"/>
      <c r="T119" s="10" t="n"/>
      <c r="U119" s="11">
        <f>IF(COUNTA(A119:T119)=0,"",IF(COUNTBLANK(A119)+COUNTBLANK(B119)+COUNTBLANK(C119)+COUNTBLANK(D119)+COUNTBLANK(E119)+COUNTBLANK(H119)+COUNTBLANK(I119)+COUNTBLANK(K119)+COUNTBLANK(P119)+COUNTBLANK(R119)+COUNTBLANK(S119)&gt;0,"eksik zorunlu alan var",IF(AND(K119="tutuldu",COUNTBLANK(L119)&gt;0),"tur_video bos",IF(AND(K119="hic_cikmadi",COUNTBLANK(L119)=0),"hic_cikmadi ama tur yazili",IF(AND(R119="evet",K119="tutuldu"),"TAMAM - negatif cikarimina uygun","TAMAM")))))</f>
        <v/>
      </c>
    </row>
    <row r="120">
      <c r="A120" s="9" t="n"/>
      <c r="B120" s="9" t="n"/>
      <c r="C120" s="9" t="n"/>
      <c r="D120" s="9" t="n"/>
      <c r="E120" s="9" t="n"/>
      <c r="F120" s="10" t="n"/>
      <c r="G120" s="10" t="n"/>
      <c r="H120" s="9" t="n"/>
      <c r="I120" s="9" t="n"/>
      <c r="J120" s="10" t="n"/>
      <c r="K120" s="9" t="n"/>
      <c r="L120" s="9" t="n"/>
      <c r="M120" s="10" t="n"/>
      <c r="N120" s="10" t="n"/>
      <c r="O120" s="10" t="n"/>
      <c r="P120" s="9" t="n"/>
      <c r="Q120" s="10" t="n"/>
      <c r="R120" s="9" t="n"/>
      <c r="S120" s="9" t="n"/>
      <c r="T120" s="10" t="n"/>
      <c r="U120" s="11">
        <f>IF(COUNTA(A120:T120)=0,"",IF(COUNTBLANK(A120)+COUNTBLANK(B120)+COUNTBLANK(C120)+COUNTBLANK(D120)+COUNTBLANK(E120)+COUNTBLANK(H120)+COUNTBLANK(I120)+COUNTBLANK(K120)+COUNTBLANK(P120)+COUNTBLANK(R120)+COUNTBLANK(S120)&gt;0,"eksik zorunlu alan var",IF(AND(K120="tutuldu",COUNTBLANK(L120)&gt;0),"tur_video bos",IF(AND(K120="hic_cikmadi",COUNTBLANK(L120)=0),"hic_cikmadi ama tur yazili",IF(AND(R120="evet",K120="tutuldu"),"TAMAM - negatif cikarimina uygun","TAMAM")))))</f>
        <v/>
      </c>
    </row>
    <row r="121">
      <c r="A121" s="9" t="n"/>
      <c r="B121" s="9" t="n"/>
      <c r="C121" s="9" t="n"/>
      <c r="D121" s="9" t="n"/>
      <c r="E121" s="9" t="n"/>
      <c r="F121" s="10" t="n"/>
      <c r="G121" s="10" t="n"/>
      <c r="H121" s="9" t="n"/>
      <c r="I121" s="9" t="n"/>
      <c r="J121" s="10" t="n"/>
      <c r="K121" s="9" t="n"/>
      <c r="L121" s="9" t="n"/>
      <c r="M121" s="10" t="n"/>
      <c r="N121" s="10" t="n"/>
      <c r="O121" s="10" t="n"/>
      <c r="P121" s="9" t="n"/>
      <c r="Q121" s="10" t="n"/>
      <c r="R121" s="9" t="n"/>
      <c r="S121" s="9" t="n"/>
      <c r="T121" s="10" t="n"/>
      <c r="U121" s="11">
        <f>IF(COUNTA(A121:T121)=0,"",IF(COUNTBLANK(A121)+COUNTBLANK(B121)+COUNTBLANK(C121)+COUNTBLANK(D121)+COUNTBLANK(E121)+COUNTBLANK(H121)+COUNTBLANK(I121)+COUNTBLANK(K121)+COUNTBLANK(P121)+COUNTBLANK(R121)+COUNTBLANK(S121)&gt;0,"eksik zorunlu alan var",IF(AND(K121="tutuldu",COUNTBLANK(L121)&gt;0),"tur_video bos",IF(AND(K121="hic_cikmadi",COUNTBLANK(L121)=0),"hic_cikmadi ama tur yazili",IF(AND(R121="evet",K121="tutuldu"),"TAMAM - negatif cikarimina uygun","TAMAM")))))</f>
        <v/>
      </c>
    </row>
    <row r="122">
      <c r="A122" s="9" t="n"/>
      <c r="B122" s="9" t="n"/>
      <c r="C122" s="9" t="n"/>
      <c r="D122" s="9" t="n"/>
      <c r="E122" s="9" t="n"/>
      <c r="F122" s="10" t="n"/>
      <c r="G122" s="10" t="n"/>
      <c r="H122" s="9" t="n"/>
      <c r="I122" s="9" t="n"/>
      <c r="J122" s="10" t="n"/>
      <c r="K122" s="9" t="n"/>
      <c r="L122" s="9" t="n"/>
      <c r="M122" s="10" t="n"/>
      <c r="N122" s="10" t="n"/>
      <c r="O122" s="10" t="n"/>
      <c r="P122" s="9" t="n"/>
      <c r="Q122" s="10" t="n"/>
      <c r="R122" s="9" t="n"/>
      <c r="S122" s="9" t="n"/>
      <c r="T122" s="10" t="n"/>
      <c r="U122" s="11">
        <f>IF(COUNTA(A122:T122)=0,"",IF(COUNTBLANK(A122)+COUNTBLANK(B122)+COUNTBLANK(C122)+COUNTBLANK(D122)+COUNTBLANK(E122)+COUNTBLANK(H122)+COUNTBLANK(I122)+COUNTBLANK(K122)+COUNTBLANK(P122)+COUNTBLANK(R122)+COUNTBLANK(S122)&gt;0,"eksik zorunlu alan var",IF(AND(K122="tutuldu",COUNTBLANK(L122)&gt;0),"tur_video bos",IF(AND(K122="hic_cikmadi",COUNTBLANK(L122)=0),"hic_cikmadi ama tur yazili",IF(AND(R122="evet",K122="tutuldu"),"TAMAM - negatif cikarimina uygun","TAMAM")))))</f>
        <v/>
      </c>
    </row>
    <row r="123">
      <c r="A123" s="9" t="n"/>
      <c r="B123" s="9" t="n"/>
      <c r="C123" s="9" t="n"/>
      <c r="D123" s="9" t="n"/>
      <c r="E123" s="9" t="n"/>
      <c r="F123" s="10" t="n"/>
      <c r="G123" s="10" t="n"/>
      <c r="H123" s="9" t="n"/>
      <c r="I123" s="9" t="n"/>
      <c r="J123" s="10" t="n"/>
      <c r="K123" s="9" t="n"/>
      <c r="L123" s="9" t="n"/>
      <c r="M123" s="10" t="n"/>
      <c r="N123" s="10" t="n"/>
      <c r="O123" s="10" t="n"/>
      <c r="P123" s="9" t="n"/>
      <c r="Q123" s="10" t="n"/>
      <c r="R123" s="9" t="n"/>
      <c r="S123" s="9" t="n"/>
      <c r="T123" s="10" t="n"/>
      <c r="U123" s="11">
        <f>IF(COUNTA(A123:T123)=0,"",IF(COUNTBLANK(A123)+COUNTBLANK(B123)+COUNTBLANK(C123)+COUNTBLANK(D123)+COUNTBLANK(E123)+COUNTBLANK(H123)+COUNTBLANK(I123)+COUNTBLANK(K123)+COUNTBLANK(P123)+COUNTBLANK(R123)+COUNTBLANK(S123)&gt;0,"eksik zorunlu alan var",IF(AND(K123="tutuldu",COUNTBLANK(L123)&gt;0),"tur_video bos",IF(AND(K123="hic_cikmadi",COUNTBLANK(L123)=0),"hic_cikmadi ama tur yazili",IF(AND(R123="evet",K123="tutuldu"),"TAMAM - negatif cikarimina uygun","TAMAM")))))</f>
        <v/>
      </c>
    </row>
    <row r="124">
      <c r="A124" s="9" t="n"/>
      <c r="B124" s="9" t="n"/>
      <c r="C124" s="9" t="n"/>
      <c r="D124" s="9" t="n"/>
      <c r="E124" s="9" t="n"/>
      <c r="F124" s="10" t="n"/>
      <c r="G124" s="10" t="n"/>
      <c r="H124" s="9" t="n"/>
      <c r="I124" s="9" t="n"/>
      <c r="J124" s="10" t="n"/>
      <c r="K124" s="9" t="n"/>
      <c r="L124" s="9" t="n"/>
      <c r="M124" s="10" t="n"/>
      <c r="N124" s="10" t="n"/>
      <c r="O124" s="10" t="n"/>
      <c r="P124" s="9" t="n"/>
      <c r="Q124" s="10" t="n"/>
      <c r="R124" s="9" t="n"/>
      <c r="S124" s="9" t="n"/>
      <c r="T124" s="10" t="n"/>
      <c r="U124" s="11">
        <f>IF(COUNTA(A124:T124)=0,"",IF(COUNTBLANK(A124)+COUNTBLANK(B124)+COUNTBLANK(C124)+COUNTBLANK(D124)+COUNTBLANK(E124)+COUNTBLANK(H124)+COUNTBLANK(I124)+COUNTBLANK(K124)+COUNTBLANK(P124)+COUNTBLANK(R124)+COUNTBLANK(S124)&gt;0,"eksik zorunlu alan var",IF(AND(K124="tutuldu",COUNTBLANK(L124)&gt;0),"tur_video bos",IF(AND(K124="hic_cikmadi",COUNTBLANK(L124)=0),"hic_cikmadi ama tur yazili",IF(AND(R124="evet",K124="tutuldu"),"TAMAM - negatif cikarimina uygun","TAMAM")))))</f>
        <v/>
      </c>
    </row>
    <row r="125">
      <c r="A125" s="9" t="n"/>
      <c r="B125" s="9" t="n"/>
      <c r="C125" s="9" t="n"/>
      <c r="D125" s="9" t="n"/>
      <c r="E125" s="9" t="n"/>
      <c r="F125" s="10" t="n"/>
      <c r="G125" s="10" t="n"/>
      <c r="H125" s="9" t="n"/>
      <c r="I125" s="9" t="n"/>
      <c r="J125" s="10" t="n"/>
      <c r="K125" s="9" t="n"/>
      <c r="L125" s="9" t="n"/>
      <c r="M125" s="10" t="n"/>
      <c r="N125" s="10" t="n"/>
      <c r="O125" s="10" t="n"/>
      <c r="P125" s="9" t="n"/>
      <c r="Q125" s="10" t="n"/>
      <c r="R125" s="9" t="n"/>
      <c r="S125" s="9" t="n"/>
      <c r="T125" s="10" t="n"/>
      <c r="U125" s="11">
        <f>IF(COUNTA(A125:T125)=0,"",IF(COUNTBLANK(A125)+COUNTBLANK(B125)+COUNTBLANK(C125)+COUNTBLANK(D125)+COUNTBLANK(E125)+COUNTBLANK(H125)+COUNTBLANK(I125)+COUNTBLANK(K125)+COUNTBLANK(P125)+COUNTBLANK(R125)+COUNTBLANK(S125)&gt;0,"eksik zorunlu alan var",IF(AND(K125="tutuldu",COUNTBLANK(L125)&gt;0),"tur_video bos",IF(AND(K125="hic_cikmadi",COUNTBLANK(L125)=0),"hic_cikmadi ama tur yazili",IF(AND(R125="evet",K125="tutuldu"),"TAMAM - negatif cikarimina uygun","TAMAM")))))</f>
        <v/>
      </c>
    </row>
    <row r="126">
      <c r="A126" s="9" t="n"/>
      <c r="B126" s="9" t="n"/>
      <c r="C126" s="9" t="n"/>
      <c r="D126" s="9" t="n"/>
      <c r="E126" s="9" t="n"/>
      <c r="F126" s="10" t="n"/>
      <c r="G126" s="10" t="n"/>
      <c r="H126" s="9" t="n"/>
      <c r="I126" s="9" t="n"/>
      <c r="J126" s="10" t="n"/>
      <c r="K126" s="9" t="n"/>
      <c r="L126" s="9" t="n"/>
      <c r="M126" s="10" t="n"/>
      <c r="N126" s="10" t="n"/>
      <c r="O126" s="10" t="n"/>
      <c r="P126" s="9" t="n"/>
      <c r="Q126" s="10" t="n"/>
      <c r="R126" s="9" t="n"/>
      <c r="S126" s="9" t="n"/>
      <c r="T126" s="10" t="n"/>
      <c r="U126" s="11">
        <f>IF(COUNTA(A126:T126)=0,"",IF(COUNTBLANK(A126)+COUNTBLANK(B126)+COUNTBLANK(C126)+COUNTBLANK(D126)+COUNTBLANK(E126)+COUNTBLANK(H126)+COUNTBLANK(I126)+COUNTBLANK(K126)+COUNTBLANK(P126)+COUNTBLANK(R126)+COUNTBLANK(S126)&gt;0,"eksik zorunlu alan var",IF(AND(K126="tutuldu",COUNTBLANK(L126)&gt;0),"tur_video bos",IF(AND(K126="hic_cikmadi",COUNTBLANK(L126)=0),"hic_cikmadi ama tur yazili",IF(AND(R126="evet",K126="tutuldu"),"TAMAM - negatif cikarimina uygun","TAMAM")))))</f>
        <v/>
      </c>
    </row>
    <row r="127">
      <c r="A127" s="9" t="n"/>
      <c r="B127" s="9" t="n"/>
      <c r="C127" s="9" t="n"/>
      <c r="D127" s="9" t="n"/>
      <c r="E127" s="9" t="n"/>
      <c r="F127" s="10" t="n"/>
      <c r="G127" s="10" t="n"/>
      <c r="H127" s="9" t="n"/>
      <c r="I127" s="9" t="n"/>
      <c r="J127" s="10" t="n"/>
      <c r="K127" s="9" t="n"/>
      <c r="L127" s="9" t="n"/>
      <c r="M127" s="10" t="n"/>
      <c r="N127" s="10" t="n"/>
      <c r="O127" s="10" t="n"/>
      <c r="P127" s="9" t="n"/>
      <c r="Q127" s="10" t="n"/>
      <c r="R127" s="9" t="n"/>
      <c r="S127" s="9" t="n"/>
      <c r="T127" s="10" t="n"/>
      <c r="U127" s="11">
        <f>IF(COUNTA(A127:T127)=0,"",IF(COUNTBLANK(A127)+COUNTBLANK(B127)+COUNTBLANK(C127)+COUNTBLANK(D127)+COUNTBLANK(E127)+COUNTBLANK(H127)+COUNTBLANK(I127)+COUNTBLANK(K127)+COUNTBLANK(P127)+COUNTBLANK(R127)+COUNTBLANK(S127)&gt;0,"eksik zorunlu alan var",IF(AND(K127="tutuldu",COUNTBLANK(L127)&gt;0),"tur_video bos",IF(AND(K127="hic_cikmadi",COUNTBLANK(L127)=0),"hic_cikmadi ama tur yazili",IF(AND(R127="evet",K127="tutuldu"),"TAMAM - negatif cikarimina uygun","TAMAM")))))</f>
        <v/>
      </c>
    </row>
    <row r="128">
      <c r="A128" s="9" t="n"/>
      <c r="B128" s="9" t="n"/>
      <c r="C128" s="9" t="n"/>
      <c r="D128" s="9" t="n"/>
      <c r="E128" s="9" t="n"/>
      <c r="F128" s="10" t="n"/>
      <c r="G128" s="10" t="n"/>
      <c r="H128" s="9" t="n"/>
      <c r="I128" s="9" t="n"/>
      <c r="J128" s="10" t="n"/>
      <c r="K128" s="9" t="n"/>
      <c r="L128" s="9" t="n"/>
      <c r="M128" s="10" t="n"/>
      <c r="N128" s="10" t="n"/>
      <c r="O128" s="10" t="n"/>
      <c r="P128" s="9" t="n"/>
      <c r="Q128" s="10" t="n"/>
      <c r="R128" s="9" t="n"/>
      <c r="S128" s="9" t="n"/>
      <c r="T128" s="10" t="n"/>
      <c r="U128" s="11">
        <f>IF(COUNTA(A128:T128)=0,"",IF(COUNTBLANK(A128)+COUNTBLANK(B128)+COUNTBLANK(C128)+COUNTBLANK(D128)+COUNTBLANK(E128)+COUNTBLANK(H128)+COUNTBLANK(I128)+COUNTBLANK(K128)+COUNTBLANK(P128)+COUNTBLANK(R128)+COUNTBLANK(S128)&gt;0,"eksik zorunlu alan var",IF(AND(K128="tutuldu",COUNTBLANK(L128)&gt;0),"tur_video bos",IF(AND(K128="hic_cikmadi",COUNTBLANK(L128)=0),"hic_cikmadi ama tur yazili",IF(AND(R128="evet",K128="tutuldu"),"TAMAM - negatif cikarimina uygun","TAMAM")))))</f>
        <v/>
      </c>
    </row>
    <row r="129">
      <c r="A129" s="9" t="n"/>
      <c r="B129" s="9" t="n"/>
      <c r="C129" s="9" t="n"/>
      <c r="D129" s="9" t="n"/>
      <c r="E129" s="9" t="n"/>
      <c r="F129" s="10" t="n"/>
      <c r="G129" s="10" t="n"/>
      <c r="H129" s="9" t="n"/>
      <c r="I129" s="9" t="n"/>
      <c r="J129" s="10" t="n"/>
      <c r="K129" s="9" t="n"/>
      <c r="L129" s="9" t="n"/>
      <c r="M129" s="10" t="n"/>
      <c r="N129" s="10" t="n"/>
      <c r="O129" s="10" t="n"/>
      <c r="P129" s="9" t="n"/>
      <c r="Q129" s="10" t="n"/>
      <c r="R129" s="9" t="n"/>
      <c r="S129" s="9" t="n"/>
      <c r="T129" s="10" t="n"/>
      <c r="U129" s="11">
        <f>IF(COUNTA(A129:T129)=0,"",IF(COUNTBLANK(A129)+COUNTBLANK(B129)+COUNTBLANK(C129)+COUNTBLANK(D129)+COUNTBLANK(E129)+COUNTBLANK(H129)+COUNTBLANK(I129)+COUNTBLANK(K129)+COUNTBLANK(P129)+COUNTBLANK(R129)+COUNTBLANK(S129)&gt;0,"eksik zorunlu alan var",IF(AND(K129="tutuldu",COUNTBLANK(L129)&gt;0),"tur_video bos",IF(AND(K129="hic_cikmadi",COUNTBLANK(L129)=0),"hic_cikmadi ama tur yazili",IF(AND(R129="evet",K129="tutuldu"),"TAMAM - negatif cikarimina uygun","TAMAM")))))</f>
        <v/>
      </c>
    </row>
    <row r="130">
      <c r="A130" s="9" t="n"/>
      <c r="B130" s="9" t="n"/>
      <c r="C130" s="9" t="n"/>
      <c r="D130" s="9" t="n"/>
      <c r="E130" s="9" t="n"/>
      <c r="F130" s="10" t="n"/>
      <c r="G130" s="10" t="n"/>
      <c r="H130" s="9" t="n"/>
      <c r="I130" s="9" t="n"/>
      <c r="J130" s="10" t="n"/>
      <c r="K130" s="9" t="n"/>
      <c r="L130" s="9" t="n"/>
      <c r="M130" s="10" t="n"/>
      <c r="N130" s="10" t="n"/>
      <c r="O130" s="10" t="n"/>
      <c r="P130" s="9" t="n"/>
      <c r="Q130" s="10" t="n"/>
      <c r="R130" s="9" t="n"/>
      <c r="S130" s="9" t="n"/>
      <c r="T130" s="10" t="n"/>
      <c r="U130" s="11">
        <f>IF(COUNTA(A130:T130)=0,"",IF(COUNTBLANK(A130)+COUNTBLANK(B130)+COUNTBLANK(C130)+COUNTBLANK(D130)+COUNTBLANK(E130)+COUNTBLANK(H130)+COUNTBLANK(I130)+COUNTBLANK(K130)+COUNTBLANK(P130)+COUNTBLANK(R130)+COUNTBLANK(S130)&gt;0,"eksik zorunlu alan var",IF(AND(K130="tutuldu",COUNTBLANK(L130)&gt;0),"tur_video bos",IF(AND(K130="hic_cikmadi",COUNTBLANK(L130)=0),"hic_cikmadi ama tur yazili",IF(AND(R130="evet",K130="tutuldu"),"TAMAM - negatif cikarimina uygun","TAMAM")))))</f>
        <v/>
      </c>
    </row>
    <row r="131">
      <c r="A131" s="9" t="n"/>
      <c r="B131" s="9" t="n"/>
      <c r="C131" s="9" t="n"/>
      <c r="D131" s="9" t="n"/>
      <c r="E131" s="9" t="n"/>
      <c r="F131" s="10" t="n"/>
      <c r="G131" s="10" t="n"/>
      <c r="H131" s="9" t="n"/>
      <c r="I131" s="9" t="n"/>
      <c r="J131" s="10" t="n"/>
      <c r="K131" s="9" t="n"/>
      <c r="L131" s="9" t="n"/>
      <c r="M131" s="10" t="n"/>
      <c r="N131" s="10" t="n"/>
      <c r="O131" s="10" t="n"/>
      <c r="P131" s="9" t="n"/>
      <c r="Q131" s="10" t="n"/>
      <c r="R131" s="9" t="n"/>
      <c r="S131" s="9" t="n"/>
      <c r="T131" s="10" t="n"/>
      <c r="U131" s="11">
        <f>IF(COUNTA(A131:T131)=0,"",IF(COUNTBLANK(A131)+COUNTBLANK(B131)+COUNTBLANK(C131)+COUNTBLANK(D131)+COUNTBLANK(E131)+COUNTBLANK(H131)+COUNTBLANK(I131)+COUNTBLANK(K131)+COUNTBLANK(P131)+COUNTBLANK(R131)+COUNTBLANK(S131)&gt;0,"eksik zorunlu alan var",IF(AND(K131="tutuldu",COUNTBLANK(L131)&gt;0),"tur_video bos",IF(AND(K131="hic_cikmadi",COUNTBLANK(L131)=0),"hic_cikmadi ama tur yazili",IF(AND(R131="evet",K131="tutuldu"),"TAMAM - negatif cikarimina uygun","TAMAM")))))</f>
        <v/>
      </c>
    </row>
    <row r="132">
      <c r="A132" s="9" t="n"/>
      <c r="B132" s="9" t="n"/>
      <c r="C132" s="9" t="n"/>
      <c r="D132" s="9" t="n"/>
      <c r="E132" s="9" t="n"/>
      <c r="F132" s="10" t="n"/>
      <c r="G132" s="10" t="n"/>
      <c r="H132" s="9" t="n"/>
      <c r="I132" s="9" t="n"/>
      <c r="J132" s="10" t="n"/>
      <c r="K132" s="9" t="n"/>
      <c r="L132" s="9" t="n"/>
      <c r="M132" s="10" t="n"/>
      <c r="N132" s="10" t="n"/>
      <c r="O132" s="10" t="n"/>
      <c r="P132" s="9" t="n"/>
      <c r="Q132" s="10" t="n"/>
      <c r="R132" s="9" t="n"/>
      <c r="S132" s="9" t="n"/>
      <c r="T132" s="10" t="n"/>
      <c r="U132" s="11">
        <f>IF(COUNTA(A132:T132)=0,"",IF(COUNTBLANK(A132)+COUNTBLANK(B132)+COUNTBLANK(C132)+COUNTBLANK(D132)+COUNTBLANK(E132)+COUNTBLANK(H132)+COUNTBLANK(I132)+COUNTBLANK(K132)+COUNTBLANK(P132)+COUNTBLANK(R132)+COUNTBLANK(S132)&gt;0,"eksik zorunlu alan var",IF(AND(K132="tutuldu",COUNTBLANK(L132)&gt;0),"tur_video bos",IF(AND(K132="hic_cikmadi",COUNTBLANK(L132)=0),"hic_cikmadi ama tur yazili",IF(AND(R132="evet",K132="tutuldu"),"TAMAM - negatif cikarimina uygun","TAMAM")))))</f>
        <v/>
      </c>
    </row>
    <row r="133">
      <c r="A133" s="9" t="n"/>
      <c r="B133" s="9" t="n"/>
      <c r="C133" s="9" t="n"/>
      <c r="D133" s="9" t="n"/>
      <c r="E133" s="9" t="n"/>
      <c r="F133" s="10" t="n"/>
      <c r="G133" s="10" t="n"/>
      <c r="H133" s="9" t="n"/>
      <c r="I133" s="9" t="n"/>
      <c r="J133" s="10" t="n"/>
      <c r="K133" s="9" t="n"/>
      <c r="L133" s="9" t="n"/>
      <c r="M133" s="10" t="n"/>
      <c r="N133" s="10" t="n"/>
      <c r="O133" s="10" t="n"/>
      <c r="P133" s="9" t="n"/>
      <c r="Q133" s="10" t="n"/>
      <c r="R133" s="9" t="n"/>
      <c r="S133" s="9" t="n"/>
      <c r="T133" s="10" t="n"/>
      <c r="U133" s="11">
        <f>IF(COUNTA(A133:T133)=0,"",IF(COUNTBLANK(A133)+COUNTBLANK(B133)+COUNTBLANK(C133)+COUNTBLANK(D133)+COUNTBLANK(E133)+COUNTBLANK(H133)+COUNTBLANK(I133)+COUNTBLANK(K133)+COUNTBLANK(P133)+COUNTBLANK(R133)+COUNTBLANK(S133)&gt;0,"eksik zorunlu alan var",IF(AND(K133="tutuldu",COUNTBLANK(L133)&gt;0),"tur_video bos",IF(AND(K133="hic_cikmadi",COUNTBLANK(L133)=0),"hic_cikmadi ama tur yazili",IF(AND(R133="evet",K133="tutuldu"),"TAMAM - negatif cikarimina uygun","TAMAM")))))</f>
        <v/>
      </c>
    </row>
    <row r="134">
      <c r="A134" s="9" t="n"/>
      <c r="B134" s="9" t="n"/>
      <c r="C134" s="9" t="n"/>
      <c r="D134" s="9" t="n"/>
      <c r="E134" s="9" t="n"/>
      <c r="F134" s="10" t="n"/>
      <c r="G134" s="10" t="n"/>
      <c r="H134" s="9" t="n"/>
      <c r="I134" s="9" t="n"/>
      <c r="J134" s="10" t="n"/>
      <c r="K134" s="9" t="n"/>
      <c r="L134" s="9" t="n"/>
      <c r="M134" s="10" t="n"/>
      <c r="N134" s="10" t="n"/>
      <c r="O134" s="10" t="n"/>
      <c r="P134" s="9" t="n"/>
      <c r="Q134" s="10" t="n"/>
      <c r="R134" s="9" t="n"/>
      <c r="S134" s="9" t="n"/>
      <c r="T134" s="10" t="n"/>
      <c r="U134" s="11">
        <f>IF(COUNTA(A134:T134)=0,"",IF(COUNTBLANK(A134)+COUNTBLANK(B134)+COUNTBLANK(C134)+COUNTBLANK(D134)+COUNTBLANK(E134)+COUNTBLANK(H134)+COUNTBLANK(I134)+COUNTBLANK(K134)+COUNTBLANK(P134)+COUNTBLANK(R134)+COUNTBLANK(S134)&gt;0,"eksik zorunlu alan var",IF(AND(K134="tutuldu",COUNTBLANK(L134)&gt;0),"tur_video bos",IF(AND(K134="hic_cikmadi",COUNTBLANK(L134)=0),"hic_cikmadi ama tur yazili",IF(AND(R134="evet",K134="tutuldu"),"TAMAM - negatif cikarimina uygun","TAMAM")))))</f>
        <v/>
      </c>
    </row>
    <row r="135">
      <c r="A135" s="9" t="n"/>
      <c r="B135" s="9" t="n"/>
      <c r="C135" s="9" t="n"/>
      <c r="D135" s="9" t="n"/>
      <c r="E135" s="9" t="n"/>
      <c r="F135" s="10" t="n"/>
      <c r="G135" s="10" t="n"/>
      <c r="H135" s="9" t="n"/>
      <c r="I135" s="9" t="n"/>
      <c r="J135" s="10" t="n"/>
      <c r="K135" s="9" t="n"/>
      <c r="L135" s="9" t="n"/>
      <c r="M135" s="10" t="n"/>
      <c r="N135" s="10" t="n"/>
      <c r="O135" s="10" t="n"/>
      <c r="P135" s="9" t="n"/>
      <c r="Q135" s="10" t="n"/>
      <c r="R135" s="9" t="n"/>
      <c r="S135" s="9" t="n"/>
      <c r="T135" s="10" t="n"/>
      <c r="U135" s="11">
        <f>IF(COUNTA(A135:T135)=0,"",IF(COUNTBLANK(A135)+COUNTBLANK(B135)+COUNTBLANK(C135)+COUNTBLANK(D135)+COUNTBLANK(E135)+COUNTBLANK(H135)+COUNTBLANK(I135)+COUNTBLANK(K135)+COUNTBLANK(P135)+COUNTBLANK(R135)+COUNTBLANK(S135)&gt;0,"eksik zorunlu alan var",IF(AND(K135="tutuldu",COUNTBLANK(L135)&gt;0),"tur_video bos",IF(AND(K135="hic_cikmadi",COUNTBLANK(L135)=0),"hic_cikmadi ama tur yazili",IF(AND(R135="evet",K135="tutuldu"),"TAMAM - negatif cikarimina uygun","TAMAM")))))</f>
        <v/>
      </c>
    </row>
    <row r="136">
      <c r="A136" s="9" t="n"/>
      <c r="B136" s="9" t="n"/>
      <c r="C136" s="9" t="n"/>
      <c r="D136" s="9" t="n"/>
      <c r="E136" s="9" t="n"/>
      <c r="F136" s="10" t="n"/>
      <c r="G136" s="10" t="n"/>
      <c r="H136" s="9" t="n"/>
      <c r="I136" s="9" t="n"/>
      <c r="J136" s="10" t="n"/>
      <c r="K136" s="9" t="n"/>
      <c r="L136" s="9" t="n"/>
      <c r="M136" s="10" t="n"/>
      <c r="N136" s="10" t="n"/>
      <c r="O136" s="10" t="n"/>
      <c r="P136" s="9" t="n"/>
      <c r="Q136" s="10" t="n"/>
      <c r="R136" s="9" t="n"/>
      <c r="S136" s="9" t="n"/>
      <c r="T136" s="10" t="n"/>
      <c r="U136" s="11">
        <f>IF(COUNTA(A136:T136)=0,"",IF(COUNTBLANK(A136)+COUNTBLANK(B136)+COUNTBLANK(C136)+COUNTBLANK(D136)+COUNTBLANK(E136)+COUNTBLANK(H136)+COUNTBLANK(I136)+COUNTBLANK(K136)+COUNTBLANK(P136)+COUNTBLANK(R136)+COUNTBLANK(S136)&gt;0,"eksik zorunlu alan var",IF(AND(K136="tutuldu",COUNTBLANK(L136)&gt;0),"tur_video bos",IF(AND(K136="hic_cikmadi",COUNTBLANK(L136)=0),"hic_cikmadi ama tur yazili",IF(AND(R136="evet",K136="tutuldu"),"TAMAM - negatif cikarimina uygun","TAMAM")))))</f>
        <v/>
      </c>
    </row>
    <row r="137">
      <c r="A137" s="9" t="n"/>
      <c r="B137" s="9" t="n"/>
      <c r="C137" s="9" t="n"/>
      <c r="D137" s="9" t="n"/>
      <c r="E137" s="9" t="n"/>
      <c r="F137" s="10" t="n"/>
      <c r="G137" s="10" t="n"/>
      <c r="H137" s="9" t="n"/>
      <c r="I137" s="9" t="n"/>
      <c r="J137" s="10" t="n"/>
      <c r="K137" s="9" t="n"/>
      <c r="L137" s="9" t="n"/>
      <c r="M137" s="10" t="n"/>
      <c r="N137" s="10" t="n"/>
      <c r="O137" s="10" t="n"/>
      <c r="P137" s="9" t="n"/>
      <c r="Q137" s="10" t="n"/>
      <c r="R137" s="9" t="n"/>
      <c r="S137" s="9" t="n"/>
      <c r="T137" s="10" t="n"/>
      <c r="U137" s="11">
        <f>IF(COUNTA(A137:T137)=0,"",IF(COUNTBLANK(A137)+COUNTBLANK(B137)+COUNTBLANK(C137)+COUNTBLANK(D137)+COUNTBLANK(E137)+COUNTBLANK(H137)+COUNTBLANK(I137)+COUNTBLANK(K137)+COUNTBLANK(P137)+COUNTBLANK(R137)+COUNTBLANK(S137)&gt;0,"eksik zorunlu alan var",IF(AND(K137="tutuldu",COUNTBLANK(L137)&gt;0),"tur_video bos",IF(AND(K137="hic_cikmadi",COUNTBLANK(L137)=0),"hic_cikmadi ama tur yazili",IF(AND(R137="evet",K137="tutuldu"),"TAMAM - negatif cikarimina uygun","TAMAM")))))</f>
        <v/>
      </c>
    </row>
    <row r="138">
      <c r="A138" s="9" t="n"/>
      <c r="B138" s="9" t="n"/>
      <c r="C138" s="9" t="n"/>
      <c r="D138" s="9" t="n"/>
      <c r="E138" s="9" t="n"/>
      <c r="F138" s="10" t="n"/>
      <c r="G138" s="10" t="n"/>
      <c r="H138" s="9" t="n"/>
      <c r="I138" s="9" t="n"/>
      <c r="J138" s="10" t="n"/>
      <c r="K138" s="9" t="n"/>
      <c r="L138" s="9" t="n"/>
      <c r="M138" s="10" t="n"/>
      <c r="N138" s="10" t="n"/>
      <c r="O138" s="10" t="n"/>
      <c r="P138" s="9" t="n"/>
      <c r="Q138" s="10" t="n"/>
      <c r="R138" s="9" t="n"/>
      <c r="S138" s="9" t="n"/>
      <c r="T138" s="10" t="n"/>
      <c r="U138" s="11">
        <f>IF(COUNTA(A138:T138)=0,"",IF(COUNTBLANK(A138)+COUNTBLANK(B138)+COUNTBLANK(C138)+COUNTBLANK(D138)+COUNTBLANK(E138)+COUNTBLANK(H138)+COUNTBLANK(I138)+COUNTBLANK(K138)+COUNTBLANK(P138)+COUNTBLANK(R138)+COUNTBLANK(S138)&gt;0,"eksik zorunlu alan var",IF(AND(K138="tutuldu",COUNTBLANK(L138)&gt;0),"tur_video bos",IF(AND(K138="hic_cikmadi",COUNTBLANK(L138)=0),"hic_cikmadi ama tur yazili",IF(AND(R138="evet",K138="tutuldu"),"TAMAM - negatif cikarimina uygun","TAMAM")))))</f>
        <v/>
      </c>
    </row>
    <row r="139">
      <c r="A139" s="9" t="n"/>
      <c r="B139" s="9" t="n"/>
      <c r="C139" s="9" t="n"/>
      <c r="D139" s="9" t="n"/>
      <c r="E139" s="9" t="n"/>
      <c r="F139" s="10" t="n"/>
      <c r="G139" s="10" t="n"/>
      <c r="H139" s="9" t="n"/>
      <c r="I139" s="9" t="n"/>
      <c r="J139" s="10" t="n"/>
      <c r="K139" s="9" t="n"/>
      <c r="L139" s="9" t="n"/>
      <c r="M139" s="10" t="n"/>
      <c r="N139" s="10" t="n"/>
      <c r="O139" s="10" t="n"/>
      <c r="P139" s="9" t="n"/>
      <c r="Q139" s="10" t="n"/>
      <c r="R139" s="9" t="n"/>
      <c r="S139" s="9" t="n"/>
      <c r="T139" s="10" t="n"/>
      <c r="U139" s="11">
        <f>IF(COUNTA(A139:T139)=0,"",IF(COUNTBLANK(A139)+COUNTBLANK(B139)+COUNTBLANK(C139)+COUNTBLANK(D139)+COUNTBLANK(E139)+COUNTBLANK(H139)+COUNTBLANK(I139)+COUNTBLANK(K139)+COUNTBLANK(P139)+COUNTBLANK(R139)+COUNTBLANK(S139)&gt;0,"eksik zorunlu alan var",IF(AND(K139="tutuldu",COUNTBLANK(L139)&gt;0),"tur_video bos",IF(AND(K139="hic_cikmadi",COUNTBLANK(L139)=0),"hic_cikmadi ama tur yazili",IF(AND(R139="evet",K139="tutuldu"),"TAMAM - negatif cikarimina uygun","TAMAM")))))</f>
        <v/>
      </c>
    </row>
    <row r="140">
      <c r="A140" s="9" t="n"/>
      <c r="B140" s="9" t="n"/>
      <c r="C140" s="9" t="n"/>
      <c r="D140" s="9" t="n"/>
      <c r="E140" s="9" t="n"/>
      <c r="F140" s="10" t="n"/>
      <c r="G140" s="10" t="n"/>
      <c r="H140" s="9" t="n"/>
      <c r="I140" s="9" t="n"/>
      <c r="J140" s="10" t="n"/>
      <c r="K140" s="9" t="n"/>
      <c r="L140" s="9" t="n"/>
      <c r="M140" s="10" t="n"/>
      <c r="N140" s="10" t="n"/>
      <c r="O140" s="10" t="n"/>
      <c r="P140" s="9" t="n"/>
      <c r="Q140" s="10" t="n"/>
      <c r="R140" s="9" t="n"/>
      <c r="S140" s="9" t="n"/>
      <c r="T140" s="10" t="n"/>
      <c r="U140" s="11">
        <f>IF(COUNTA(A140:T140)=0,"",IF(COUNTBLANK(A140)+COUNTBLANK(B140)+COUNTBLANK(C140)+COUNTBLANK(D140)+COUNTBLANK(E140)+COUNTBLANK(H140)+COUNTBLANK(I140)+COUNTBLANK(K140)+COUNTBLANK(P140)+COUNTBLANK(R140)+COUNTBLANK(S140)&gt;0,"eksik zorunlu alan var",IF(AND(K140="tutuldu",COUNTBLANK(L140)&gt;0),"tur_video bos",IF(AND(K140="hic_cikmadi",COUNTBLANK(L140)=0),"hic_cikmadi ama tur yazili",IF(AND(R140="evet",K140="tutuldu"),"TAMAM - negatif cikarimina uygun","TAMAM")))))</f>
        <v/>
      </c>
    </row>
    <row r="141">
      <c r="A141" s="9" t="n"/>
      <c r="B141" s="9" t="n"/>
      <c r="C141" s="9" t="n"/>
      <c r="D141" s="9" t="n"/>
      <c r="E141" s="9" t="n"/>
      <c r="F141" s="10" t="n"/>
      <c r="G141" s="10" t="n"/>
      <c r="H141" s="9" t="n"/>
      <c r="I141" s="9" t="n"/>
      <c r="J141" s="10" t="n"/>
      <c r="K141" s="9" t="n"/>
      <c r="L141" s="9" t="n"/>
      <c r="M141" s="10" t="n"/>
      <c r="N141" s="10" t="n"/>
      <c r="O141" s="10" t="n"/>
      <c r="P141" s="9" t="n"/>
      <c r="Q141" s="10" t="n"/>
      <c r="R141" s="9" t="n"/>
      <c r="S141" s="9" t="n"/>
      <c r="T141" s="10" t="n"/>
      <c r="U141" s="11">
        <f>IF(COUNTA(A141:T141)=0,"",IF(COUNTBLANK(A141)+COUNTBLANK(B141)+COUNTBLANK(C141)+COUNTBLANK(D141)+COUNTBLANK(E141)+COUNTBLANK(H141)+COUNTBLANK(I141)+COUNTBLANK(K141)+COUNTBLANK(P141)+COUNTBLANK(R141)+COUNTBLANK(S141)&gt;0,"eksik zorunlu alan var",IF(AND(K141="tutuldu",COUNTBLANK(L141)&gt;0),"tur_video bos",IF(AND(K141="hic_cikmadi",COUNTBLANK(L141)=0),"hic_cikmadi ama tur yazili",IF(AND(R141="evet",K141="tutuldu"),"TAMAM - negatif cikarimina uygun","TAMAM")))))</f>
        <v/>
      </c>
    </row>
    <row r="142">
      <c r="A142" s="9" t="n"/>
      <c r="B142" s="9" t="n"/>
      <c r="C142" s="9" t="n"/>
      <c r="D142" s="9" t="n"/>
      <c r="E142" s="9" t="n"/>
      <c r="F142" s="10" t="n"/>
      <c r="G142" s="10" t="n"/>
      <c r="H142" s="9" t="n"/>
      <c r="I142" s="9" t="n"/>
      <c r="J142" s="10" t="n"/>
      <c r="K142" s="9" t="n"/>
      <c r="L142" s="9" t="n"/>
      <c r="M142" s="10" t="n"/>
      <c r="N142" s="10" t="n"/>
      <c r="O142" s="10" t="n"/>
      <c r="P142" s="9" t="n"/>
      <c r="Q142" s="10" t="n"/>
      <c r="R142" s="9" t="n"/>
      <c r="S142" s="9" t="n"/>
      <c r="T142" s="10" t="n"/>
      <c r="U142" s="11">
        <f>IF(COUNTA(A142:T142)=0,"",IF(COUNTBLANK(A142)+COUNTBLANK(B142)+COUNTBLANK(C142)+COUNTBLANK(D142)+COUNTBLANK(E142)+COUNTBLANK(H142)+COUNTBLANK(I142)+COUNTBLANK(K142)+COUNTBLANK(P142)+COUNTBLANK(R142)+COUNTBLANK(S142)&gt;0,"eksik zorunlu alan var",IF(AND(K142="tutuldu",COUNTBLANK(L142)&gt;0),"tur_video bos",IF(AND(K142="hic_cikmadi",COUNTBLANK(L142)=0),"hic_cikmadi ama tur yazili",IF(AND(R142="evet",K142="tutuldu"),"TAMAM - negatif cikarimina uygun","TAMAM")))))</f>
        <v/>
      </c>
    </row>
    <row r="143">
      <c r="A143" s="9" t="n"/>
      <c r="B143" s="9" t="n"/>
      <c r="C143" s="9" t="n"/>
      <c r="D143" s="9" t="n"/>
      <c r="E143" s="9" t="n"/>
      <c r="F143" s="10" t="n"/>
      <c r="G143" s="10" t="n"/>
      <c r="H143" s="9" t="n"/>
      <c r="I143" s="9" t="n"/>
      <c r="J143" s="10" t="n"/>
      <c r="K143" s="9" t="n"/>
      <c r="L143" s="9" t="n"/>
      <c r="M143" s="10" t="n"/>
      <c r="N143" s="10" t="n"/>
      <c r="O143" s="10" t="n"/>
      <c r="P143" s="9" t="n"/>
      <c r="Q143" s="10" t="n"/>
      <c r="R143" s="9" t="n"/>
      <c r="S143" s="9" t="n"/>
      <c r="T143" s="10" t="n"/>
      <c r="U143" s="11">
        <f>IF(COUNTA(A143:T143)=0,"",IF(COUNTBLANK(A143)+COUNTBLANK(B143)+COUNTBLANK(C143)+COUNTBLANK(D143)+COUNTBLANK(E143)+COUNTBLANK(H143)+COUNTBLANK(I143)+COUNTBLANK(K143)+COUNTBLANK(P143)+COUNTBLANK(R143)+COUNTBLANK(S143)&gt;0,"eksik zorunlu alan var",IF(AND(K143="tutuldu",COUNTBLANK(L143)&gt;0),"tur_video bos",IF(AND(K143="hic_cikmadi",COUNTBLANK(L143)=0),"hic_cikmadi ama tur yazili",IF(AND(R143="evet",K143="tutuldu"),"TAMAM - negatif cikarimina uygun","TAMAM")))))</f>
        <v/>
      </c>
    </row>
    <row r="144">
      <c r="A144" s="9" t="n"/>
      <c r="B144" s="9" t="n"/>
      <c r="C144" s="9" t="n"/>
      <c r="D144" s="9" t="n"/>
      <c r="E144" s="9" t="n"/>
      <c r="F144" s="10" t="n"/>
      <c r="G144" s="10" t="n"/>
      <c r="H144" s="9" t="n"/>
      <c r="I144" s="9" t="n"/>
      <c r="J144" s="10" t="n"/>
      <c r="K144" s="9" t="n"/>
      <c r="L144" s="9" t="n"/>
      <c r="M144" s="10" t="n"/>
      <c r="N144" s="10" t="n"/>
      <c r="O144" s="10" t="n"/>
      <c r="P144" s="9" t="n"/>
      <c r="Q144" s="10" t="n"/>
      <c r="R144" s="9" t="n"/>
      <c r="S144" s="9" t="n"/>
      <c r="T144" s="10" t="n"/>
      <c r="U144" s="11">
        <f>IF(COUNTA(A144:T144)=0,"",IF(COUNTBLANK(A144)+COUNTBLANK(B144)+COUNTBLANK(C144)+COUNTBLANK(D144)+COUNTBLANK(E144)+COUNTBLANK(H144)+COUNTBLANK(I144)+COUNTBLANK(K144)+COUNTBLANK(P144)+COUNTBLANK(R144)+COUNTBLANK(S144)&gt;0,"eksik zorunlu alan var",IF(AND(K144="tutuldu",COUNTBLANK(L144)&gt;0),"tur_video bos",IF(AND(K144="hic_cikmadi",COUNTBLANK(L144)=0),"hic_cikmadi ama tur yazili",IF(AND(R144="evet",K144="tutuldu"),"TAMAM - negatif cikarimina uygun","TAMAM")))))</f>
        <v/>
      </c>
    </row>
    <row r="145">
      <c r="A145" s="9" t="n"/>
      <c r="B145" s="9" t="n"/>
      <c r="C145" s="9" t="n"/>
      <c r="D145" s="9" t="n"/>
      <c r="E145" s="9" t="n"/>
      <c r="F145" s="10" t="n"/>
      <c r="G145" s="10" t="n"/>
      <c r="H145" s="9" t="n"/>
      <c r="I145" s="9" t="n"/>
      <c r="J145" s="10" t="n"/>
      <c r="K145" s="9" t="n"/>
      <c r="L145" s="9" t="n"/>
      <c r="M145" s="10" t="n"/>
      <c r="N145" s="10" t="n"/>
      <c r="O145" s="10" t="n"/>
      <c r="P145" s="9" t="n"/>
      <c r="Q145" s="10" t="n"/>
      <c r="R145" s="9" t="n"/>
      <c r="S145" s="9" t="n"/>
      <c r="T145" s="10" t="n"/>
      <c r="U145" s="11">
        <f>IF(COUNTA(A145:T145)=0,"",IF(COUNTBLANK(A145)+COUNTBLANK(B145)+COUNTBLANK(C145)+COUNTBLANK(D145)+COUNTBLANK(E145)+COUNTBLANK(H145)+COUNTBLANK(I145)+COUNTBLANK(K145)+COUNTBLANK(P145)+COUNTBLANK(R145)+COUNTBLANK(S145)&gt;0,"eksik zorunlu alan var",IF(AND(K145="tutuldu",COUNTBLANK(L145)&gt;0),"tur_video bos",IF(AND(K145="hic_cikmadi",COUNTBLANK(L145)=0),"hic_cikmadi ama tur yazili",IF(AND(R145="evet",K145="tutuldu"),"TAMAM - negatif cikarimina uygun","TAMAM")))))</f>
        <v/>
      </c>
    </row>
    <row r="146">
      <c r="A146" s="9" t="n"/>
      <c r="B146" s="9" t="n"/>
      <c r="C146" s="9" t="n"/>
      <c r="D146" s="9" t="n"/>
      <c r="E146" s="9" t="n"/>
      <c r="F146" s="10" t="n"/>
      <c r="G146" s="10" t="n"/>
      <c r="H146" s="9" t="n"/>
      <c r="I146" s="9" t="n"/>
      <c r="J146" s="10" t="n"/>
      <c r="K146" s="9" t="n"/>
      <c r="L146" s="9" t="n"/>
      <c r="M146" s="10" t="n"/>
      <c r="N146" s="10" t="n"/>
      <c r="O146" s="10" t="n"/>
      <c r="P146" s="9" t="n"/>
      <c r="Q146" s="10" t="n"/>
      <c r="R146" s="9" t="n"/>
      <c r="S146" s="9" t="n"/>
      <c r="T146" s="10" t="n"/>
      <c r="U146" s="11">
        <f>IF(COUNTA(A146:T146)=0,"",IF(COUNTBLANK(A146)+COUNTBLANK(B146)+COUNTBLANK(C146)+COUNTBLANK(D146)+COUNTBLANK(E146)+COUNTBLANK(H146)+COUNTBLANK(I146)+COUNTBLANK(K146)+COUNTBLANK(P146)+COUNTBLANK(R146)+COUNTBLANK(S146)&gt;0,"eksik zorunlu alan var",IF(AND(K146="tutuldu",COUNTBLANK(L146)&gt;0),"tur_video bos",IF(AND(K146="hic_cikmadi",COUNTBLANK(L146)=0),"hic_cikmadi ama tur yazili",IF(AND(R146="evet",K146="tutuldu"),"TAMAM - negatif cikarimina uygun","TAMAM")))))</f>
        <v/>
      </c>
    </row>
    <row r="147">
      <c r="A147" s="9" t="n"/>
      <c r="B147" s="9" t="n"/>
      <c r="C147" s="9" t="n"/>
      <c r="D147" s="9" t="n"/>
      <c r="E147" s="9" t="n"/>
      <c r="F147" s="10" t="n"/>
      <c r="G147" s="10" t="n"/>
      <c r="H147" s="9" t="n"/>
      <c r="I147" s="9" t="n"/>
      <c r="J147" s="10" t="n"/>
      <c r="K147" s="9" t="n"/>
      <c r="L147" s="9" t="n"/>
      <c r="M147" s="10" t="n"/>
      <c r="N147" s="10" t="n"/>
      <c r="O147" s="10" t="n"/>
      <c r="P147" s="9" t="n"/>
      <c r="Q147" s="10" t="n"/>
      <c r="R147" s="9" t="n"/>
      <c r="S147" s="9" t="n"/>
      <c r="T147" s="10" t="n"/>
      <c r="U147" s="11">
        <f>IF(COUNTA(A147:T147)=0,"",IF(COUNTBLANK(A147)+COUNTBLANK(B147)+COUNTBLANK(C147)+COUNTBLANK(D147)+COUNTBLANK(E147)+COUNTBLANK(H147)+COUNTBLANK(I147)+COUNTBLANK(K147)+COUNTBLANK(P147)+COUNTBLANK(R147)+COUNTBLANK(S147)&gt;0,"eksik zorunlu alan var",IF(AND(K147="tutuldu",COUNTBLANK(L147)&gt;0),"tur_video bos",IF(AND(K147="hic_cikmadi",COUNTBLANK(L147)=0),"hic_cikmadi ama tur yazili",IF(AND(R147="evet",K147="tutuldu"),"TAMAM - negatif cikarimina uygun","TAMAM")))))</f>
        <v/>
      </c>
    </row>
    <row r="148">
      <c r="A148" s="9" t="n"/>
      <c r="B148" s="9" t="n"/>
      <c r="C148" s="9" t="n"/>
      <c r="D148" s="9" t="n"/>
      <c r="E148" s="9" t="n"/>
      <c r="F148" s="10" t="n"/>
      <c r="G148" s="10" t="n"/>
      <c r="H148" s="9" t="n"/>
      <c r="I148" s="9" t="n"/>
      <c r="J148" s="10" t="n"/>
      <c r="K148" s="9" t="n"/>
      <c r="L148" s="9" t="n"/>
      <c r="M148" s="10" t="n"/>
      <c r="N148" s="10" t="n"/>
      <c r="O148" s="10" t="n"/>
      <c r="P148" s="9" t="n"/>
      <c r="Q148" s="10" t="n"/>
      <c r="R148" s="9" t="n"/>
      <c r="S148" s="9" t="n"/>
      <c r="T148" s="10" t="n"/>
      <c r="U148" s="11">
        <f>IF(COUNTA(A148:T148)=0,"",IF(COUNTBLANK(A148)+COUNTBLANK(B148)+COUNTBLANK(C148)+COUNTBLANK(D148)+COUNTBLANK(E148)+COUNTBLANK(H148)+COUNTBLANK(I148)+COUNTBLANK(K148)+COUNTBLANK(P148)+COUNTBLANK(R148)+COUNTBLANK(S148)&gt;0,"eksik zorunlu alan var",IF(AND(K148="tutuldu",COUNTBLANK(L148)&gt;0),"tur_video bos",IF(AND(K148="hic_cikmadi",COUNTBLANK(L148)=0),"hic_cikmadi ama tur yazili",IF(AND(R148="evet",K148="tutuldu"),"TAMAM - negatif cikarimina uygun","TAMAM")))))</f>
        <v/>
      </c>
    </row>
    <row r="149">
      <c r="A149" s="9" t="n"/>
      <c r="B149" s="9" t="n"/>
      <c r="C149" s="9" t="n"/>
      <c r="D149" s="9" t="n"/>
      <c r="E149" s="9" t="n"/>
      <c r="F149" s="10" t="n"/>
      <c r="G149" s="10" t="n"/>
      <c r="H149" s="9" t="n"/>
      <c r="I149" s="9" t="n"/>
      <c r="J149" s="10" t="n"/>
      <c r="K149" s="9" t="n"/>
      <c r="L149" s="9" t="n"/>
      <c r="M149" s="10" t="n"/>
      <c r="N149" s="10" t="n"/>
      <c r="O149" s="10" t="n"/>
      <c r="P149" s="9" t="n"/>
      <c r="Q149" s="10" t="n"/>
      <c r="R149" s="9" t="n"/>
      <c r="S149" s="9" t="n"/>
      <c r="T149" s="10" t="n"/>
      <c r="U149" s="11">
        <f>IF(COUNTA(A149:T149)=0,"",IF(COUNTBLANK(A149)+COUNTBLANK(B149)+COUNTBLANK(C149)+COUNTBLANK(D149)+COUNTBLANK(E149)+COUNTBLANK(H149)+COUNTBLANK(I149)+COUNTBLANK(K149)+COUNTBLANK(P149)+COUNTBLANK(R149)+COUNTBLANK(S149)&gt;0,"eksik zorunlu alan var",IF(AND(K149="tutuldu",COUNTBLANK(L149)&gt;0),"tur_video bos",IF(AND(K149="hic_cikmadi",COUNTBLANK(L149)=0),"hic_cikmadi ama tur yazili",IF(AND(R149="evet",K149="tutuldu"),"TAMAM - negatif cikarimina uygun","TAMAM")))))</f>
        <v/>
      </c>
    </row>
    <row r="150">
      <c r="A150" s="9" t="n"/>
      <c r="B150" s="9" t="n"/>
      <c r="C150" s="9" t="n"/>
      <c r="D150" s="9" t="n"/>
      <c r="E150" s="9" t="n"/>
      <c r="F150" s="10" t="n"/>
      <c r="G150" s="10" t="n"/>
      <c r="H150" s="9" t="n"/>
      <c r="I150" s="9" t="n"/>
      <c r="J150" s="10" t="n"/>
      <c r="K150" s="9" t="n"/>
      <c r="L150" s="9" t="n"/>
      <c r="M150" s="10" t="n"/>
      <c r="N150" s="10" t="n"/>
      <c r="O150" s="10" t="n"/>
      <c r="P150" s="9" t="n"/>
      <c r="Q150" s="10" t="n"/>
      <c r="R150" s="9" t="n"/>
      <c r="S150" s="9" t="n"/>
      <c r="T150" s="10" t="n"/>
      <c r="U150" s="11">
        <f>IF(COUNTA(A150:T150)=0,"",IF(COUNTBLANK(A150)+COUNTBLANK(B150)+COUNTBLANK(C150)+COUNTBLANK(D150)+COUNTBLANK(E150)+COUNTBLANK(H150)+COUNTBLANK(I150)+COUNTBLANK(K150)+COUNTBLANK(P150)+COUNTBLANK(R150)+COUNTBLANK(S150)&gt;0,"eksik zorunlu alan var",IF(AND(K150="tutuldu",COUNTBLANK(L150)&gt;0),"tur_video bos",IF(AND(K150="hic_cikmadi",COUNTBLANK(L150)=0),"hic_cikmadi ama tur yazili",IF(AND(R150="evet",K150="tutuldu"),"TAMAM - negatif cikarimina uygun","TAMAM")))))</f>
        <v/>
      </c>
    </row>
    <row r="151">
      <c r="A151" s="9" t="n"/>
      <c r="B151" s="9" t="n"/>
      <c r="C151" s="9" t="n"/>
      <c r="D151" s="9" t="n"/>
      <c r="E151" s="9" t="n"/>
      <c r="F151" s="10" t="n"/>
      <c r="G151" s="10" t="n"/>
      <c r="H151" s="9" t="n"/>
      <c r="I151" s="9" t="n"/>
      <c r="J151" s="10" t="n"/>
      <c r="K151" s="9" t="n"/>
      <c r="L151" s="9" t="n"/>
      <c r="M151" s="10" t="n"/>
      <c r="N151" s="10" t="n"/>
      <c r="O151" s="10" t="n"/>
      <c r="P151" s="9" t="n"/>
      <c r="Q151" s="10" t="n"/>
      <c r="R151" s="9" t="n"/>
      <c r="S151" s="9" t="n"/>
      <c r="T151" s="10" t="n"/>
      <c r="U151" s="11">
        <f>IF(COUNTA(A151:T151)=0,"",IF(COUNTBLANK(A151)+COUNTBLANK(B151)+COUNTBLANK(C151)+COUNTBLANK(D151)+COUNTBLANK(E151)+COUNTBLANK(H151)+COUNTBLANK(I151)+COUNTBLANK(K151)+COUNTBLANK(P151)+COUNTBLANK(R151)+COUNTBLANK(S151)&gt;0,"eksik zorunlu alan var",IF(AND(K151="tutuldu",COUNTBLANK(L151)&gt;0),"tur_video bos",IF(AND(K151="hic_cikmadi",COUNTBLANK(L151)=0),"hic_cikmadi ama tur yazili",IF(AND(R151="evet",K151="tutuldu"),"TAMAM - negatif cikarimina uygun","TAMAM")))))</f>
        <v/>
      </c>
    </row>
    <row r="152">
      <c r="A152" s="9" t="n"/>
      <c r="B152" s="9" t="n"/>
      <c r="C152" s="9" t="n"/>
      <c r="D152" s="9" t="n"/>
      <c r="E152" s="9" t="n"/>
      <c r="F152" s="10" t="n"/>
      <c r="G152" s="10" t="n"/>
      <c r="H152" s="9" t="n"/>
      <c r="I152" s="9" t="n"/>
      <c r="J152" s="10" t="n"/>
      <c r="K152" s="9" t="n"/>
      <c r="L152" s="9" t="n"/>
      <c r="M152" s="10" t="n"/>
      <c r="N152" s="10" t="n"/>
      <c r="O152" s="10" t="n"/>
      <c r="P152" s="9" t="n"/>
      <c r="Q152" s="10" t="n"/>
      <c r="R152" s="9" t="n"/>
      <c r="S152" s="9" t="n"/>
      <c r="T152" s="10" t="n"/>
      <c r="U152" s="11">
        <f>IF(COUNTA(A152:T152)=0,"",IF(COUNTBLANK(A152)+COUNTBLANK(B152)+COUNTBLANK(C152)+COUNTBLANK(D152)+COUNTBLANK(E152)+COUNTBLANK(H152)+COUNTBLANK(I152)+COUNTBLANK(K152)+COUNTBLANK(P152)+COUNTBLANK(R152)+COUNTBLANK(S152)&gt;0,"eksik zorunlu alan var",IF(AND(K152="tutuldu",COUNTBLANK(L152)&gt;0),"tur_video bos",IF(AND(K152="hic_cikmadi",COUNTBLANK(L152)=0),"hic_cikmadi ama tur yazili",IF(AND(R152="evet",K152="tutuldu"),"TAMAM - negatif cikarimina uygun","TAMAM")))))</f>
        <v/>
      </c>
    </row>
    <row r="153">
      <c r="A153" s="9" t="n"/>
      <c r="B153" s="9" t="n"/>
      <c r="C153" s="9" t="n"/>
      <c r="D153" s="9" t="n"/>
      <c r="E153" s="9" t="n"/>
      <c r="F153" s="10" t="n"/>
      <c r="G153" s="10" t="n"/>
      <c r="H153" s="9" t="n"/>
      <c r="I153" s="9" t="n"/>
      <c r="J153" s="10" t="n"/>
      <c r="K153" s="9" t="n"/>
      <c r="L153" s="9" t="n"/>
      <c r="M153" s="10" t="n"/>
      <c r="N153" s="10" t="n"/>
      <c r="O153" s="10" t="n"/>
      <c r="P153" s="9" t="n"/>
      <c r="Q153" s="10" t="n"/>
      <c r="R153" s="9" t="n"/>
      <c r="S153" s="9" t="n"/>
      <c r="T153" s="10" t="n"/>
      <c r="U153" s="11">
        <f>IF(COUNTA(A153:T153)=0,"",IF(COUNTBLANK(A153)+COUNTBLANK(B153)+COUNTBLANK(C153)+COUNTBLANK(D153)+COUNTBLANK(E153)+COUNTBLANK(H153)+COUNTBLANK(I153)+COUNTBLANK(K153)+COUNTBLANK(P153)+COUNTBLANK(R153)+COUNTBLANK(S153)&gt;0,"eksik zorunlu alan var",IF(AND(K153="tutuldu",COUNTBLANK(L153)&gt;0),"tur_video bos",IF(AND(K153="hic_cikmadi",COUNTBLANK(L153)=0),"hic_cikmadi ama tur yazili",IF(AND(R153="evet",K153="tutuldu"),"TAMAM - negatif cikarimina uygun","TAMAM")))))</f>
        <v/>
      </c>
    </row>
    <row r="154">
      <c r="A154" s="9" t="n"/>
      <c r="B154" s="9" t="n"/>
      <c r="C154" s="9" t="n"/>
      <c r="D154" s="9" t="n"/>
      <c r="E154" s="9" t="n"/>
      <c r="F154" s="10" t="n"/>
      <c r="G154" s="10" t="n"/>
      <c r="H154" s="9" t="n"/>
      <c r="I154" s="9" t="n"/>
      <c r="J154" s="10" t="n"/>
      <c r="K154" s="9" t="n"/>
      <c r="L154" s="9" t="n"/>
      <c r="M154" s="10" t="n"/>
      <c r="N154" s="10" t="n"/>
      <c r="O154" s="10" t="n"/>
      <c r="P154" s="9" t="n"/>
      <c r="Q154" s="10" t="n"/>
      <c r="R154" s="9" t="n"/>
      <c r="S154" s="9" t="n"/>
      <c r="T154" s="10" t="n"/>
      <c r="U154" s="11">
        <f>IF(COUNTA(A154:T154)=0,"",IF(COUNTBLANK(A154)+COUNTBLANK(B154)+COUNTBLANK(C154)+COUNTBLANK(D154)+COUNTBLANK(E154)+COUNTBLANK(H154)+COUNTBLANK(I154)+COUNTBLANK(K154)+COUNTBLANK(P154)+COUNTBLANK(R154)+COUNTBLANK(S154)&gt;0,"eksik zorunlu alan var",IF(AND(K154="tutuldu",COUNTBLANK(L154)&gt;0),"tur_video bos",IF(AND(K154="hic_cikmadi",COUNTBLANK(L154)=0),"hic_cikmadi ama tur yazili",IF(AND(R154="evet",K154="tutuldu"),"TAMAM - negatif cikarimina uygun","TAMAM")))))</f>
        <v/>
      </c>
    </row>
    <row r="155">
      <c r="A155" s="9" t="n"/>
      <c r="B155" s="9" t="n"/>
      <c r="C155" s="9" t="n"/>
      <c r="D155" s="9" t="n"/>
      <c r="E155" s="9" t="n"/>
      <c r="F155" s="10" t="n"/>
      <c r="G155" s="10" t="n"/>
      <c r="H155" s="9" t="n"/>
      <c r="I155" s="9" t="n"/>
      <c r="J155" s="10" t="n"/>
      <c r="K155" s="9" t="n"/>
      <c r="L155" s="9" t="n"/>
      <c r="M155" s="10" t="n"/>
      <c r="N155" s="10" t="n"/>
      <c r="O155" s="10" t="n"/>
      <c r="P155" s="9" t="n"/>
      <c r="Q155" s="10" t="n"/>
      <c r="R155" s="9" t="n"/>
      <c r="S155" s="9" t="n"/>
      <c r="T155" s="10" t="n"/>
      <c r="U155" s="11">
        <f>IF(COUNTA(A155:T155)=0,"",IF(COUNTBLANK(A155)+COUNTBLANK(B155)+COUNTBLANK(C155)+COUNTBLANK(D155)+COUNTBLANK(E155)+COUNTBLANK(H155)+COUNTBLANK(I155)+COUNTBLANK(K155)+COUNTBLANK(P155)+COUNTBLANK(R155)+COUNTBLANK(S155)&gt;0,"eksik zorunlu alan var",IF(AND(K155="tutuldu",COUNTBLANK(L155)&gt;0),"tur_video bos",IF(AND(K155="hic_cikmadi",COUNTBLANK(L155)=0),"hic_cikmadi ama tur yazili",IF(AND(R155="evet",K155="tutuldu"),"TAMAM - negatif cikarimina uygun","TAMAM")))))</f>
        <v/>
      </c>
    </row>
    <row r="156">
      <c r="A156" s="9" t="n"/>
      <c r="B156" s="9" t="n"/>
      <c r="C156" s="9" t="n"/>
      <c r="D156" s="9" t="n"/>
      <c r="E156" s="9" t="n"/>
      <c r="F156" s="10" t="n"/>
      <c r="G156" s="10" t="n"/>
      <c r="H156" s="9" t="n"/>
      <c r="I156" s="9" t="n"/>
      <c r="J156" s="10" t="n"/>
      <c r="K156" s="9" t="n"/>
      <c r="L156" s="9" t="n"/>
      <c r="M156" s="10" t="n"/>
      <c r="N156" s="10" t="n"/>
      <c r="O156" s="10" t="n"/>
      <c r="P156" s="9" t="n"/>
      <c r="Q156" s="10" t="n"/>
      <c r="R156" s="9" t="n"/>
      <c r="S156" s="9" t="n"/>
      <c r="T156" s="10" t="n"/>
      <c r="U156" s="11">
        <f>IF(COUNTA(A156:T156)=0,"",IF(COUNTBLANK(A156)+COUNTBLANK(B156)+COUNTBLANK(C156)+COUNTBLANK(D156)+COUNTBLANK(E156)+COUNTBLANK(H156)+COUNTBLANK(I156)+COUNTBLANK(K156)+COUNTBLANK(P156)+COUNTBLANK(R156)+COUNTBLANK(S156)&gt;0,"eksik zorunlu alan var",IF(AND(K156="tutuldu",COUNTBLANK(L156)&gt;0),"tur_video bos",IF(AND(K156="hic_cikmadi",COUNTBLANK(L156)=0),"hic_cikmadi ama tur yazili",IF(AND(R156="evet",K156="tutuldu"),"TAMAM - negatif cikarimina uygun","TAMAM")))))</f>
        <v/>
      </c>
    </row>
    <row r="157">
      <c r="A157" s="9" t="n"/>
      <c r="B157" s="9" t="n"/>
      <c r="C157" s="9" t="n"/>
      <c r="D157" s="9" t="n"/>
      <c r="E157" s="9" t="n"/>
      <c r="F157" s="10" t="n"/>
      <c r="G157" s="10" t="n"/>
      <c r="H157" s="9" t="n"/>
      <c r="I157" s="9" t="n"/>
      <c r="J157" s="10" t="n"/>
      <c r="K157" s="9" t="n"/>
      <c r="L157" s="9" t="n"/>
      <c r="M157" s="10" t="n"/>
      <c r="N157" s="10" t="n"/>
      <c r="O157" s="10" t="n"/>
      <c r="P157" s="9" t="n"/>
      <c r="Q157" s="10" t="n"/>
      <c r="R157" s="9" t="n"/>
      <c r="S157" s="9" t="n"/>
      <c r="T157" s="10" t="n"/>
      <c r="U157" s="11">
        <f>IF(COUNTA(A157:T157)=0,"",IF(COUNTBLANK(A157)+COUNTBLANK(B157)+COUNTBLANK(C157)+COUNTBLANK(D157)+COUNTBLANK(E157)+COUNTBLANK(H157)+COUNTBLANK(I157)+COUNTBLANK(K157)+COUNTBLANK(P157)+COUNTBLANK(R157)+COUNTBLANK(S157)&gt;0,"eksik zorunlu alan var",IF(AND(K157="tutuldu",COUNTBLANK(L157)&gt;0),"tur_video bos",IF(AND(K157="hic_cikmadi",COUNTBLANK(L157)=0),"hic_cikmadi ama tur yazili",IF(AND(R157="evet",K157="tutuldu"),"TAMAM - negatif cikarimina uygun","TAMAM")))))</f>
        <v/>
      </c>
    </row>
    <row r="158">
      <c r="A158" s="9" t="n"/>
      <c r="B158" s="9" t="n"/>
      <c r="C158" s="9" t="n"/>
      <c r="D158" s="9" t="n"/>
      <c r="E158" s="9" t="n"/>
      <c r="F158" s="10" t="n"/>
      <c r="G158" s="10" t="n"/>
      <c r="H158" s="9" t="n"/>
      <c r="I158" s="9" t="n"/>
      <c r="J158" s="10" t="n"/>
      <c r="K158" s="9" t="n"/>
      <c r="L158" s="9" t="n"/>
      <c r="M158" s="10" t="n"/>
      <c r="N158" s="10" t="n"/>
      <c r="O158" s="10" t="n"/>
      <c r="P158" s="9" t="n"/>
      <c r="Q158" s="10" t="n"/>
      <c r="R158" s="9" t="n"/>
      <c r="S158" s="9" t="n"/>
      <c r="T158" s="10" t="n"/>
      <c r="U158" s="11">
        <f>IF(COUNTA(A158:T158)=0,"",IF(COUNTBLANK(A158)+COUNTBLANK(B158)+COUNTBLANK(C158)+COUNTBLANK(D158)+COUNTBLANK(E158)+COUNTBLANK(H158)+COUNTBLANK(I158)+COUNTBLANK(K158)+COUNTBLANK(P158)+COUNTBLANK(R158)+COUNTBLANK(S158)&gt;0,"eksik zorunlu alan var",IF(AND(K158="tutuldu",COUNTBLANK(L158)&gt;0),"tur_video bos",IF(AND(K158="hic_cikmadi",COUNTBLANK(L158)=0),"hic_cikmadi ama tur yazili",IF(AND(R158="evet",K158="tutuldu"),"TAMAM - negatif cikarimina uygun","TAMAM")))))</f>
        <v/>
      </c>
    </row>
    <row r="159">
      <c r="A159" s="9" t="n"/>
      <c r="B159" s="9" t="n"/>
      <c r="C159" s="9" t="n"/>
      <c r="D159" s="9" t="n"/>
      <c r="E159" s="9" t="n"/>
      <c r="F159" s="10" t="n"/>
      <c r="G159" s="10" t="n"/>
      <c r="H159" s="9" t="n"/>
      <c r="I159" s="9" t="n"/>
      <c r="J159" s="10" t="n"/>
      <c r="K159" s="9" t="n"/>
      <c r="L159" s="9" t="n"/>
      <c r="M159" s="10" t="n"/>
      <c r="N159" s="10" t="n"/>
      <c r="O159" s="10" t="n"/>
      <c r="P159" s="9" t="n"/>
      <c r="Q159" s="10" t="n"/>
      <c r="R159" s="9" t="n"/>
      <c r="S159" s="9" t="n"/>
      <c r="T159" s="10" t="n"/>
      <c r="U159" s="11">
        <f>IF(COUNTA(A159:T159)=0,"",IF(COUNTBLANK(A159)+COUNTBLANK(B159)+COUNTBLANK(C159)+COUNTBLANK(D159)+COUNTBLANK(E159)+COUNTBLANK(H159)+COUNTBLANK(I159)+COUNTBLANK(K159)+COUNTBLANK(P159)+COUNTBLANK(R159)+COUNTBLANK(S159)&gt;0,"eksik zorunlu alan var",IF(AND(K159="tutuldu",COUNTBLANK(L159)&gt;0),"tur_video bos",IF(AND(K159="hic_cikmadi",COUNTBLANK(L159)=0),"hic_cikmadi ama tur yazili",IF(AND(R159="evet",K159="tutuldu"),"TAMAM - negatif cikarimina uygun","TAMAM")))))</f>
        <v/>
      </c>
    </row>
    <row r="160">
      <c r="A160" s="9" t="n"/>
      <c r="B160" s="9" t="n"/>
      <c r="C160" s="9" t="n"/>
      <c r="D160" s="9" t="n"/>
      <c r="E160" s="9" t="n"/>
      <c r="F160" s="10" t="n"/>
      <c r="G160" s="10" t="n"/>
      <c r="H160" s="9" t="n"/>
      <c r="I160" s="9" t="n"/>
      <c r="J160" s="10" t="n"/>
      <c r="K160" s="9" t="n"/>
      <c r="L160" s="9" t="n"/>
      <c r="M160" s="10" t="n"/>
      <c r="N160" s="10" t="n"/>
      <c r="O160" s="10" t="n"/>
      <c r="P160" s="9" t="n"/>
      <c r="Q160" s="10" t="n"/>
      <c r="R160" s="9" t="n"/>
      <c r="S160" s="9" t="n"/>
      <c r="T160" s="10" t="n"/>
      <c r="U160" s="11">
        <f>IF(COUNTA(A160:T160)=0,"",IF(COUNTBLANK(A160)+COUNTBLANK(B160)+COUNTBLANK(C160)+COUNTBLANK(D160)+COUNTBLANK(E160)+COUNTBLANK(H160)+COUNTBLANK(I160)+COUNTBLANK(K160)+COUNTBLANK(P160)+COUNTBLANK(R160)+COUNTBLANK(S160)&gt;0,"eksik zorunlu alan var",IF(AND(K160="tutuldu",COUNTBLANK(L160)&gt;0),"tur_video bos",IF(AND(K160="hic_cikmadi",COUNTBLANK(L160)=0),"hic_cikmadi ama tur yazili",IF(AND(R160="evet",K160="tutuldu"),"TAMAM - negatif cikarimina uygun","TAMAM")))))</f>
        <v/>
      </c>
    </row>
    <row r="161">
      <c r="A161" s="9" t="n"/>
      <c r="B161" s="9" t="n"/>
      <c r="C161" s="9" t="n"/>
      <c r="D161" s="9" t="n"/>
      <c r="E161" s="9" t="n"/>
      <c r="F161" s="10" t="n"/>
      <c r="G161" s="10" t="n"/>
      <c r="H161" s="9" t="n"/>
      <c r="I161" s="9" t="n"/>
      <c r="J161" s="10" t="n"/>
      <c r="K161" s="9" t="n"/>
      <c r="L161" s="9" t="n"/>
      <c r="M161" s="10" t="n"/>
      <c r="N161" s="10" t="n"/>
      <c r="O161" s="10" t="n"/>
      <c r="P161" s="9" t="n"/>
      <c r="Q161" s="10" t="n"/>
      <c r="R161" s="9" t="n"/>
      <c r="S161" s="9" t="n"/>
      <c r="T161" s="10" t="n"/>
      <c r="U161" s="11">
        <f>IF(COUNTA(A161:T161)=0,"",IF(COUNTBLANK(A161)+COUNTBLANK(B161)+COUNTBLANK(C161)+COUNTBLANK(D161)+COUNTBLANK(E161)+COUNTBLANK(H161)+COUNTBLANK(I161)+COUNTBLANK(K161)+COUNTBLANK(P161)+COUNTBLANK(R161)+COUNTBLANK(S161)&gt;0,"eksik zorunlu alan var",IF(AND(K161="tutuldu",COUNTBLANK(L161)&gt;0),"tur_video bos",IF(AND(K161="hic_cikmadi",COUNTBLANK(L161)=0),"hic_cikmadi ama tur yazili",IF(AND(R161="evet",K161="tutuldu"),"TAMAM - negatif cikarimina uygun","TAMAM")))))</f>
        <v/>
      </c>
    </row>
    <row r="162">
      <c r="A162" s="9" t="n"/>
      <c r="B162" s="9" t="n"/>
      <c r="C162" s="9" t="n"/>
      <c r="D162" s="9" t="n"/>
      <c r="E162" s="9" t="n"/>
      <c r="F162" s="10" t="n"/>
      <c r="G162" s="10" t="n"/>
      <c r="H162" s="9" t="n"/>
      <c r="I162" s="9" t="n"/>
      <c r="J162" s="10" t="n"/>
      <c r="K162" s="9" t="n"/>
      <c r="L162" s="9" t="n"/>
      <c r="M162" s="10" t="n"/>
      <c r="N162" s="10" t="n"/>
      <c r="O162" s="10" t="n"/>
      <c r="P162" s="9" t="n"/>
      <c r="Q162" s="10" t="n"/>
      <c r="R162" s="9" t="n"/>
      <c r="S162" s="9" t="n"/>
      <c r="T162" s="10" t="n"/>
      <c r="U162" s="11">
        <f>IF(COUNTA(A162:T162)=0,"",IF(COUNTBLANK(A162)+COUNTBLANK(B162)+COUNTBLANK(C162)+COUNTBLANK(D162)+COUNTBLANK(E162)+COUNTBLANK(H162)+COUNTBLANK(I162)+COUNTBLANK(K162)+COUNTBLANK(P162)+COUNTBLANK(R162)+COUNTBLANK(S162)&gt;0,"eksik zorunlu alan var",IF(AND(K162="tutuldu",COUNTBLANK(L162)&gt;0),"tur_video bos",IF(AND(K162="hic_cikmadi",COUNTBLANK(L162)=0),"hic_cikmadi ama tur yazili",IF(AND(R162="evet",K162="tutuldu"),"TAMAM - negatif cikarimina uygun","TAMAM")))))</f>
        <v/>
      </c>
    </row>
    <row r="163">
      <c r="A163" s="9" t="n"/>
      <c r="B163" s="9" t="n"/>
      <c r="C163" s="9" t="n"/>
      <c r="D163" s="9" t="n"/>
      <c r="E163" s="9" t="n"/>
      <c r="F163" s="10" t="n"/>
      <c r="G163" s="10" t="n"/>
      <c r="H163" s="9" t="n"/>
      <c r="I163" s="9" t="n"/>
      <c r="J163" s="10" t="n"/>
      <c r="K163" s="9" t="n"/>
      <c r="L163" s="9" t="n"/>
      <c r="M163" s="10" t="n"/>
      <c r="N163" s="10" t="n"/>
      <c r="O163" s="10" t="n"/>
      <c r="P163" s="9" t="n"/>
      <c r="Q163" s="10" t="n"/>
      <c r="R163" s="9" t="n"/>
      <c r="S163" s="9" t="n"/>
      <c r="T163" s="10" t="n"/>
      <c r="U163" s="11">
        <f>IF(COUNTA(A163:T163)=0,"",IF(COUNTBLANK(A163)+COUNTBLANK(B163)+COUNTBLANK(C163)+COUNTBLANK(D163)+COUNTBLANK(E163)+COUNTBLANK(H163)+COUNTBLANK(I163)+COUNTBLANK(K163)+COUNTBLANK(P163)+COUNTBLANK(R163)+COUNTBLANK(S163)&gt;0,"eksik zorunlu alan var",IF(AND(K163="tutuldu",COUNTBLANK(L163)&gt;0),"tur_video bos",IF(AND(K163="hic_cikmadi",COUNTBLANK(L163)=0),"hic_cikmadi ama tur yazili",IF(AND(R163="evet",K163="tutuldu"),"TAMAM - negatif cikarimina uygun","TAMAM")))))</f>
        <v/>
      </c>
    </row>
    <row r="164">
      <c r="A164" s="9" t="n"/>
      <c r="B164" s="9" t="n"/>
      <c r="C164" s="9" t="n"/>
      <c r="D164" s="9" t="n"/>
      <c r="E164" s="9" t="n"/>
      <c r="F164" s="10" t="n"/>
      <c r="G164" s="10" t="n"/>
      <c r="H164" s="9" t="n"/>
      <c r="I164" s="9" t="n"/>
      <c r="J164" s="10" t="n"/>
      <c r="K164" s="9" t="n"/>
      <c r="L164" s="9" t="n"/>
      <c r="M164" s="10" t="n"/>
      <c r="N164" s="10" t="n"/>
      <c r="O164" s="10" t="n"/>
      <c r="P164" s="9" t="n"/>
      <c r="Q164" s="10" t="n"/>
      <c r="R164" s="9" t="n"/>
      <c r="S164" s="9" t="n"/>
      <c r="T164" s="10" t="n"/>
      <c r="U164" s="11">
        <f>IF(COUNTA(A164:T164)=0,"",IF(COUNTBLANK(A164)+COUNTBLANK(B164)+COUNTBLANK(C164)+COUNTBLANK(D164)+COUNTBLANK(E164)+COUNTBLANK(H164)+COUNTBLANK(I164)+COUNTBLANK(K164)+COUNTBLANK(P164)+COUNTBLANK(R164)+COUNTBLANK(S164)&gt;0,"eksik zorunlu alan var",IF(AND(K164="tutuldu",COUNTBLANK(L164)&gt;0),"tur_video bos",IF(AND(K164="hic_cikmadi",COUNTBLANK(L164)=0),"hic_cikmadi ama tur yazili",IF(AND(R164="evet",K164="tutuldu"),"TAMAM - negatif cikarimina uygun","TAMAM")))))</f>
        <v/>
      </c>
    </row>
    <row r="165">
      <c r="A165" s="9" t="n"/>
      <c r="B165" s="9" t="n"/>
      <c r="C165" s="9" t="n"/>
      <c r="D165" s="9" t="n"/>
      <c r="E165" s="9" t="n"/>
      <c r="F165" s="10" t="n"/>
      <c r="G165" s="10" t="n"/>
      <c r="H165" s="9" t="n"/>
      <c r="I165" s="9" t="n"/>
      <c r="J165" s="10" t="n"/>
      <c r="K165" s="9" t="n"/>
      <c r="L165" s="9" t="n"/>
      <c r="M165" s="10" t="n"/>
      <c r="N165" s="10" t="n"/>
      <c r="O165" s="10" t="n"/>
      <c r="P165" s="9" t="n"/>
      <c r="Q165" s="10" t="n"/>
      <c r="R165" s="9" t="n"/>
      <c r="S165" s="9" t="n"/>
      <c r="T165" s="10" t="n"/>
      <c r="U165" s="11">
        <f>IF(COUNTA(A165:T165)=0,"",IF(COUNTBLANK(A165)+COUNTBLANK(B165)+COUNTBLANK(C165)+COUNTBLANK(D165)+COUNTBLANK(E165)+COUNTBLANK(H165)+COUNTBLANK(I165)+COUNTBLANK(K165)+COUNTBLANK(P165)+COUNTBLANK(R165)+COUNTBLANK(S165)&gt;0,"eksik zorunlu alan var",IF(AND(K165="tutuldu",COUNTBLANK(L165)&gt;0),"tur_video bos",IF(AND(K165="hic_cikmadi",COUNTBLANK(L165)=0),"hic_cikmadi ama tur yazili",IF(AND(R165="evet",K165="tutuldu"),"TAMAM - negatif cikarimina uygun","TAMAM")))))</f>
        <v/>
      </c>
    </row>
    <row r="166">
      <c r="A166" s="9" t="n"/>
      <c r="B166" s="9" t="n"/>
      <c r="C166" s="9" t="n"/>
      <c r="D166" s="9" t="n"/>
      <c r="E166" s="9" t="n"/>
      <c r="F166" s="10" t="n"/>
      <c r="G166" s="10" t="n"/>
      <c r="H166" s="9" t="n"/>
      <c r="I166" s="9" t="n"/>
      <c r="J166" s="10" t="n"/>
      <c r="K166" s="9" t="n"/>
      <c r="L166" s="9" t="n"/>
      <c r="M166" s="10" t="n"/>
      <c r="N166" s="10" t="n"/>
      <c r="O166" s="10" t="n"/>
      <c r="P166" s="9" t="n"/>
      <c r="Q166" s="10" t="n"/>
      <c r="R166" s="9" t="n"/>
      <c r="S166" s="9" t="n"/>
      <c r="T166" s="10" t="n"/>
      <c r="U166" s="11">
        <f>IF(COUNTA(A166:T166)=0,"",IF(COUNTBLANK(A166)+COUNTBLANK(B166)+COUNTBLANK(C166)+COUNTBLANK(D166)+COUNTBLANK(E166)+COUNTBLANK(H166)+COUNTBLANK(I166)+COUNTBLANK(K166)+COUNTBLANK(P166)+COUNTBLANK(R166)+COUNTBLANK(S166)&gt;0,"eksik zorunlu alan var",IF(AND(K166="tutuldu",COUNTBLANK(L166)&gt;0),"tur_video bos",IF(AND(K166="hic_cikmadi",COUNTBLANK(L166)=0),"hic_cikmadi ama tur yazili",IF(AND(R166="evet",K166="tutuldu"),"TAMAM - negatif cikarimina uygun","TAMAM")))))</f>
        <v/>
      </c>
    </row>
    <row r="167">
      <c r="A167" s="9" t="n"/>
      <c r="B167" s="9" t="n"/>
      <c r="C167" s="9" t="n"/>
      <c r="D167" s="9" t="n"/>
      <c r="E167" s="9" t="n"/>
      <c r="F167" s="10" t="n"/>
      <c r="G167" s="10" t="n"/>
      <c r="H167" s="9" t="n"/>
      <c r="I167" s="9" t="n"/>
      <c r="J167" s="10" t="n"/>
      <c r="K167" s="9" t="n"/>
      <c r="L167" s="9" t="n"/>
      <c r="M167" s="10" t="n"/>
      <c r="N167" s="10" t="n"/>
      <c r="O167" s="10" t="n"/>
      <c r="P167" s="9" t="n"/>
      <c r="Q167" s="10" t="n"/>
      <c r="R167" s="9" t="n"/>
      <c r="S167" s="9" t="n"/>
      <c r="T167" s="10" t="n"/>
      <c r="U167" s="11">
        <f>IF(COUNTA(A167:T167)=0,"",IF(COUNTBLANK(A167)+COUNTBLANK(B167)+COUNTBLANK(C167)+COUNTBLANK(D167)+COUNTBLANK(E167)+COUNTBLANK(H167)+COUNTBLANK(I167)+COUNTBLANK(K167)+COUNTBLANK(P167)+COUNTBLANK(R167)+COUNTBLANK(S167)&gt;0,"eksik zorunlu alan var",IF(AND(K167="tutuldu",COUNTBLANK(L167)&gt;0),"tur_video bos",IF(AND(K167="hic_cikmadi",COUNTBLANK(L167)=0),"hic_cikmadi ama tur yazili",IF(AND(R167="evet",K167="tutuldu"),"TAMAM - negatif cikarimina uygun","TAMAM")))))</f>
        <v/>
      </c>
    </row>
    <row r="168">
      <c r="A168" s="9" t="n"/>
      <c r="B168" s="9" t="n"/>
      <c r="C168" s="9" t="n"/>
      <c r="D168" s="9" t="n"/>
      <c r="E168" s="9" t="n"/>
      <c r="F168" s="10" t="n"/>
      <c r="G168" s="10" t="n"/>
      <c r="H168" s="9" t="n"/>
      <c r="I168" s="9" t="n"/>
      <c r="J168" s="10" t="n"/>
      <c r="K168" s="9" t="n"/>
      <c r="L168" s="9" t="n"/>
      <c r="M168" s="10" t="n"/>
      <c r="N168" s="10" t="n"/>
      <c r="O168" s="10" t="n"/>
      <c r="P168" s="9" t="n"/>
      <c r="Q168" s="10" t="n"/>
      <c r="R168" s="9" t="n"/>
      <c r="S168" s="9" t="n"/>
      <c r="T168" s="10" t="n"/>
      <c r="U168" s="11">
        <f>IF(COUNTA(A168:T168)=0,"",IF(COUNTBLANK(A168)+COUNTBLANK(B168)+COUNTBLANK(C168)+COUNTBLANK(D168)+COUNTBLANK(E168)+COUNTBLANK(H168)+COUNTBLANK(I168)+COUNTBLANK(K168)+COUNTBLANK(P168)+COUNTBLANK(R168)+COUNTBLANK(S168)&gt;0,"eksik zorunlu alan var",IF(AND(K168="tutuldu",COUNTBLANK(L168)&gt;0),"tur_video bos",IF(AND(K168="hic_cikmadi",COUNTBLANK(L168)=0),"hic_cikmadi ama tur yazili",IF(AND(R168="evet",K168="tutuldu"),"TAMAM - negatif cikarimina uygun","TAMAM")))))</f>
        <v/>
      </c>
    </row>
    <row r="169">
      <c r="A169" s="9" t="n"/>
      <c r="B169" s="9" t="n"/>
      <c r="C169" s="9" t="n"/>
      <c r="D169" s="9" t="n"/>
      <c r="E169" s="9" t="n"/>
      <c r="F169" s="10" t="n"/>
      <c r="G169" s="10" t="n"/>
      <c r="H169" s="9" t="n"/>
      <c r="I169" s="9" t="n"/>
      <c r="J169" s="10" t="n"/>
      <c r="K169" s="9" t="n"/>
      <c r="L169" s="9" t="n"/>
      <c r="M169" s="10" t="n"/>
      <c r="N169" s="10" t="n"/>
      <c r="O169" s="10" t="n"/>
      <c r="P169" s="9" t="n"/>
      <c r="Q169" s="10" t="n"/>
      <c r="R169" s="9" t="n"/>
      <c r="S169" s="9" t="n"/>
      <c r="T169" s="10" t="n"/>
      <c r="U169" s="11">
        <f>IF(COUNTA(A169:T169)=0,"",IF(COUNTBLANK(A169)+COUNTBLANK(B169)+COUNTBLANK(C169)+COUNTBLANK(D169)+COUNTBLANK(E169)+COUNTBLANK(H169)+COUNTBLANK(I169)+COUNTBLANK(K169)+COUNTBLANK(P169)+COUNTBLANK(R169)+COUNTBLANK(S169)&gt;0,"eksik zorunlu alan var",IF(AND(K169="tutuldu",COUNTBLANK(L169)&gt;0),"tur_video bos",IF(AND(K169="hic_cikmadi",COUNTBLANK(L169)=0),"hic_cikmadi ama tur yazili",IF(AND(R169="evet",K169="tutuldu"),"TAMAM - negatif cikarimina uygun","TAMAM")))))</f>
        <v/>
      </c>
    </row>
    <row r="170">
      <c r="A170" s="9" t="n"/>
      <c r="B170" s="9" t="n"/>
      <c r="C170" s="9" t="n"/>
      <c r="D170" s="9" t="n"/>
      <c r="E170" s="9" t="n"/>
      <c r="F170" s="10" t="n"/>
      <c r="G170" s="10" t="n"/>
      <c r="H170" s="9" t="n"/>
      <c r="I170" s="9" t="n"/>
      <c r="J170" s="10" t="n"/>
      <c r="K170" s="9" t="n"/>
      <c r="L170" s="9" t="n"/>
      <c r="M170" s="10" t="n"/>
      <c r="N170" s="10" t="n"/>
      <c r="O170" s="10" t="n"/>
      <c r="P170" s="9" t="n"/>
      <c r="Q170" s="10" t="n"/>
      <c r="R170" s="9" t="n"/>
      <c r="S170" s="9" t="n"/>
      <c r="T170" s="10" t="n"/>
      <c r="U170" s="11">
        <f>IF(COUNTA(A170:T170)=0,"",IF(COUNTBLANK(A170)+COUNTBLANK(B170)+COUNTBLANK(C170)+COUNTBLANK(D170)+COUNTBLANK(E170)+COUNTBLANK(H170)+COUNTBLANK(I170)+COUNTBLANK(K170)+COUNTBLANK(P170)+COUNTBLANK(R170)+COUNTBLANK(S170)&gt;0,"eksik zorunlu alan var",IF(AND(K170="tutuldu",COUNTBLANK(L170)&gt;0),"tur_video bos",IF(AND(K170="hic_cikmadi",COUNTBLANK(L170)=0),"hic_cikmadi ama tur yazili",IF(AND(R170="evet",K170="tutuldu"),"TAMAM - negatif cikarimina uygun","TAMAM")))))</f>
        <v/>
      </c>
    </row>
    <row r="171">
      <c r="A171" s="9" t="n"/>
      <c r="B171" s="9" t="n"/>
      <c r="C171" s="9" t="n"/>
      <c r="D171" s="9" t="n"/>
      <c r="E171" s="9" t="n"/>
      <c r="F171" s="10" t="n"/>
      <c r="G171" s="10" t="n"/>
      <c r="H171" s="9" t="n"/>
      <c r="I171" s="9" t="n"/>
      <c r="J171" s="10" t="n"/>
      <c r="K171" s="9" t="n"/>
      <c r="L171" s="9" t="n"/>
      <c r="M171" s="10" t="n"/>
      <c r="N171" s="10" t="n"/>
      <c r="O171" s="10" t="n"/>
      <c r="P171" s="9" t="n"/>
      <c r="Q171" s="10" t="n"/>
      <c r="R171" s="9" t="n"/>
      <c r="S171" s="9" t="n"/>
      <c r="T171" s="10" t="n"/>
      <c r="U171" s="11">
        <f>IF(COUNTA(A171:T171)=0,"",IF(COUNTBLANK(A171)+COUNTBLANK(B171)+COUNTBLANK(C171)+COUNTBLANK(D171)+COUNTBLANK(E171)+COUNTBLANK(H171)+COUNTBLANK(I171)+COUNTBLANK(K171)+COUNTBLANK(P171)+COUNTBLANK(R171)+COUNTBLANK(S171)&gt;0,"eksik zorunlu alan var",IF(AND(K171="tutuldu",COUNTBLANK(L171)&gt;0),"tur_video bos",IF(AND(K171="hic_cikmadi",COUNTBLANK(L171)=0),"hic_cikmadi ama tur yazili",IF(AND(R171="evet",K171="tutuldu"),"TAMAM - negatif cikarimina uygun","TAMAM")))))</f>
        <v/>
      </c>
    </row>
    <row r="172">
      <c r="A172" s="9" t="n"/>
      <c r="B172" s="9" t="n"/>
      <c r="C172" s="9" t="n"/>
      <c r="D172" s="9" t="n"/>
      <c r="E172" s="9" t="n"/>
      <c r="F172" s="10" t="n"/>
      <c r="G172" s="10" t="n"/>
      <c r="H172" s="9" t="n"/>
      <c r="I172" s="9" t="n"/>
      <c r="J172" s="10" t="n"/>
      <c r="K172" s="9" t="n"/>
      <c r="L172" s="9" t="n"/>
      <c r="M172" s="10" t="n"/>
      <c r="N172" s="10" t="n"/>
      <c r="O172" s="10" t="n"/>
      <c r="P172" s="9" t="n"/>
      <c r="Q172" s="10" t="n"/>
      <c r="R172" s="9" t="n"/>
      <c r="S172" s="9" t="n"/>
      <c r="T172" s="10" t="n"/>
      <c r="U172" s="11">
        <f>IF(COUNTA(A172:T172)=0,"",IF(COUNTBLANK(A172)+COUNTBLANK(B172)+COUNTBLANK(C172)+COUNTBLANK(D172)+COUNTBLANK(E172)+COUNTBLANK(H172)+COUNTBLANK(I172)+COUNTBLANK(K172)+COUNTBLANK(P172)+COUNTBLANK(R172)+COUNTBLANK(S172)&gt;0,"eksik zorunlu alan var",IF(AND(K172="tutuldu",COUNTBLANK(L172)&gt;0),"tur_video bos",IF(AND(K172="hic_cikmadi",COUNTBLANK(L172)=0),"hic_cikmadi ama tur yazili",IF(AND(R172="evet",K172="tutuldu"),"TAMAM - negatif cikarimina uygun","TAMAM")))))</f>
        <v/>
      </c>
    </row>
    <row r="173">
      <c r="A173" s="9" t="n"/>
      <c r="B173" s="9" t="n"/>
      <c r="C173" s="9" t="n"/>
      <c r="D173" s="9" t="n"/>
      <c r="E173" s="9" t="n"/>
      <c r="F173" s="10" t="n"/>
      <c r="G173" s="10" t="n"/>
      <c r="H173" s="9" t="n"/>
      <c r="I173" s="9" t="n"/>
      <c r="J173" s="10" t="n"/>
      <c r="K173" s="9" t="n"/>
      <c r="L173" s="9" t="n"/>
      <c r="M173" s="10" t="n"/>
      <c r="N173" s="10" t="n"/>
      <c r="O173" s="10" t="n"/>
      <c r="P173" s="9" t="n"/>
      <c r="Q173" s="10" t="n"/>
      <c r="R173" s="9" t="n"/>
      <c r="S173" s="9" t="n"/>
      <c r="T173" s="10" t="n"/>
      <c r="U173" s="11">
        <f>IF(COUNTA(A173:T173)=0,"",IF(COUNTBLANK(A173)+COUNTBLANK(B173)+COUNTBLANK(C173)+COUNTBLANK(D173)+COUNTBLANK(E173)+COUNTBLANK(H173)+COUNTBLANK(I173)+COUNTBLANK(K173)+COUNTBLANK(P173)+COUNTBLANK(R173)+COUNTBLANK(S173)&gt;0,"eksik zorunlu alan var",IF(AND(K173="tutuldu",COUNTBLANK(L173)&gt;0),"tur_video bos",IF(AND(K173="hic_cikmadi",COUNTBLANK(L173)=0),"hic_cikmadi ama tur yazili",IF(AND(R173="evet",K173="tutuldu"),"TAMAM - negatif cikarimina uygun","TAMAM")))))</f>
        <v/>
      </c>
    </row>
    <row r="174">
      <c r="A174" s="9" t="n"/>
      <c r="B174" s="9" t="n"/>
      <c r="C174" s="9" t="n"/>
      <c r="D174" s="9" t="n"/>
      <c r="E174" s="9" t="n"/>
      <c r="F174" s="10" t="n"/>
      <c r="G174" s="10" t="n"/>
      <c r="H174" s="9" t="n"/>
      <c r="I174" s="9" t="n"/>
      <c r="J174" s="10" t="n"/>
      <c r="K174" s="9" t="n"/>
      <c r="L174" s="9" t="n"/>
      <c r="M174" s="10" t="n"/>
      <c r="N174" s="10" t="n"/>
      <c r="O174" s="10" t="n"/>
      <c r="P174" s="9" t="n"/>
      <c r="Q174" s="10" t="n"/>
      <c r="R174" s="9" t="n"/>
      <c r="S174" s="9" t="n"/>
      <c r="T174" s="10" t="n"/>
      <c r="U174" s="11">
        <f>IF(COUNTA(A174:T174)=0,"",IF(COUNTBLANK(A174)+COUNTBLANK(B174)+COUNTBLANK(C174)+COUNTBLANK(D174)+COUNTBLANK(E174)+COUNTBLANK(H174)+COUNTBLANK(I174)+COUNTBLANK(K174)+COUNTBLANK(P174)+COUNTBLANK(R174)+COUNTBLANK(S174)&gt;0,"eksik zorunlu alan var",IF(AND(K174="tutuldu",COUNTBLANK(L174)&gt;0),"tur_video bos",IF(AND(K174="hic_cikmadi",COUNTBLANK(L174)=0),"hic_cikmadi ama tur yazili",IF(AND(R174="evet",K174="tutuldu"),"TAMAM - negatif cikarimina uygun","TAMAM")))))</f>
        <v/>
      </c>
    </row>
    <row r="175">
      <c r="A175" s="9" t="n"/>
      <c r="B175" s="9" t="n"/>
      <c r="C175" s="9" t="n"/>
      <c r="D175" s="9" t="n"/>
      <c r="E175" s="9" t="n"/>
      <c r="F175" s="10" t="n"/>
      <c r="G175" s="10" t="n"/>
      <c r="H175" s="9" t="n"/>
      <c r="I175" s="9" t="n"/>
      <c r="J175" s="10" t="n"/>
      <c r="K175" s="9" t="n"/>
      <c r="L175" s="9" t="n"/>
      <c r="M175" s="10" t="n"/>
      <c r="N175" s="10" t="n"/>
      <c r="O175" s="10" t="n"/>
      <c r="P175" s="9" t="n"/>
      <c r="Q175" s="10" t="n"/>
      <c r="R175" s="9" t="n"/>
      <c r="S175" s="9" t="n"/>
      <c r="T175" s="10" t="n"/>
      <c r="U175" s="11">
        <f>IF(COUNTA(A175:T175)=0,"",IF(COUNTBLANK(A175)+COUNTBLANK(B175)+COUNTBLANK(C175)+COUNTBLANK(D175)+COUNTBLANK(E175)+COUNTBLANK(H175)+COUNTBLANK(I175)+COUNTBLANK(K175)+COUNTBLANK(P175)+COUNTBLANK(R175)+COUNTBLANK(S175)&gt;0,"eksik zorunlu alan var",IF(AND(K175="tutuldu",COUNTBLANK(L175)&gt;0),"tur_video bos",IF(AND(K175="hic_cikmadi",COUNTBLANK(L175)=0),"hic_cikmadi ama tur yazili",IF(AND(R175="evet",K175="tutuldu"),"TAMAM - negatif cikarimina uygun","TAMAM")))))</f>
        <v/>
      </c>
    </row>
    <row r="176">
      <c r="A176" s="9" t="n"/>
      <c r="B176" s="9" t="n"/>
      <c r="C176" s="9" t="n"/>
      <c r="D176" s="9" t="n"/>
      <c r="E176" s="9" t="n"/>
      <c r="F176" s="10" t="n"/>
      <c r="G176" s="10" t="n"/>
      <c r="H176" s="9" t="n"/>
      <c r="I176" s="9" t="n"/>
      <c r="J176" s="10" t="n"/>
      <c r="K176" s="9" t="n"/>
      <c r="L176" s="9" t="n"/>
      <c r="M176" s="10" t="n"/>
      <c r="N176" s="10" t="n"/>
      <c r="O176" s="10" t="n"/>
      <c r="P176" s="9" t="n"/>
      <c r="Q176" s="10" t="n"/>
      <c r="R176" s="9" t="n"/>
      <c r="S176" s="9" t="n"/>
      <c r="T176" s="10" t="n"/>
      <c r="U176" s="11">
        <f>IF(COUNTA(A176:T176)=0,"",IF(COUNTBLANK(A176)+COUNTBLANK(B176)+COUNTBLANK(C176)+COUNTBLANK(D176)+COUNTBLANK(E176)+COUNTBLANK(H176)+COUNTBLANK(I176)+COUNTBLANK(K176)+COUNTBLANK(P176)+COUNTBLANK(R176)+COUNTBLANK(S176)&gt;0,"eksik zorunlu alan var",IF(AND(K176="tutuldu",COUNTBLANK(L176)&gt;0),"tur_video bos",IF(AND(K176="hic_cikmadi",COUNTBLANK(L176)=0),"hic_cikmadi ama tur yazili",IF(AND(R176="evet",K176="tutuldu"),"TAMAM - negatif cikarimina uygun","TAMAM")))))</f>
        <v/>
      </c>
    </row>
    <row r="177">
      <c r="A177" s="9" t="n"/>
      <c r="B177" s="9" t="n"/>
      <c r="C177" s="9" t="n"/>
      <c r="D177" s="9" t="n"/>
      <c r="E177" s="9" t="n"/>
      <c r="F177" s="10" t="n"/>
      <c r="G177" s="10" t="n"/>
      <c r="H177" s="9" t="n"/>
      <c r="I177" s="9" t="n"/>
      <c r="J177" s="10" t="n"/>
      <c r="K177" s="9" t="n"/>
      <c r="L177" s="9" t="n"/>
      <c r="M177" s="10" t="n"/>
      <c r="N177" s="10" t="n"/>
      <c r="O177" s="10" t="n"/>
      <c r="P177" s="9" t="n"/>
      <c r="Q177" s="10" t="n"/>
      <c r="R177" s="9" t="n"/>
      <c r="S177" s="9" t="n"/>
      <c r="T177" s="10" t="n"/>
      <c r="U177" s="11">
        <f>IF(COUNTA(A177:T177)=0,"",IF(COUNTBLANK(A177)+COUNTBLANK(B177)+COUNTBLANK(C177)+COUNTBLANK(D177)+COUNTBLANK(E177)+COUNTBLANK(H177)+COUNTBLANK(I177)+COUNTBLANK(K177)+COUNTBLANK(P177)+COUNTBLANK(R177)+COUNTBLANK(S177)&gt;0,"eksik zorunlu alan var",IF(AND(K177="tutuldu",COUNTBLANK(L177)&gt;0),"tur_video bos",IF(AND(K177="hic_cikmadi",COUNTBLANK(L177)=0),"hic_cikmadi ama tur yazili",IF(AND(R177="evet",K177="tutuldu"),"TAMAM - negatif cikarimina uygun","TAMAM")))))</f>
        <v/>
      </c>
    </row>
    <row r="178">
      <c r="A178" s="9" t="n"/>
      <c r="B178" s="9" t="n"/>
      <c r="C178" s="9" t="n"/>
      <c r="D178" s="9" t="n"/>
      <c r="E178" s="9" t="n"/>
      <c r="F178" s="10" t="n"/>
      <c r="G178" s="10" t="n"/>
      <c r="H178" s="9" t="n"/>
      <c r="I178" s="9" t="n"/>
      <c r="J178" s="10" t="n"/>
      <c r="K178" s="9" t="n"/>
      <c r="L178" s="9" t="n"/>
      <c r="M178" s="10" t="n"/>
      <c r="N178" s="10" t="n"/>
      <c r="O178" s="10" t="n"/>
      <c r="P178" s="9" t="n"/>
      <c r="Q178" s="10" t="n"/>
      <c r="R178" s="9" t="n"/>
      <c r="S178" s="9" t="n"/>
      <c r="T178" s="10" t="n"/>
      <c r="U178" s="11">
        <f>IF(COUNTA(A178:T178)=0,"",IF(COUNTBLANK(A178)+COUNTBLANK(B178)+COUNTBLANK(C178)+COUNTBLANK(D178)+COUNTBLANK(E178)+COUNTBLANK(H178)+COUNTBLANK(I178)+COUNTBLANK(K178)+COUNTBLANK(P178)+COUNTBLANK(R178)+COUNTBLANK(S178)&gt;0,"eksik zorunlu alan var",IF(AND(K178="tutuldu",COUNTBLANK(L178)&gt;0),"tur_video bos",IF(AND(K178="hic_cikmadi",COUNTBLANK(L178)=0),"hic_cikmadi ama tur yazili",IF(AND(R178="evet",K178="tutuldu"),"TAMAM - negatif cikarimina uygun","TAMAM")))))</f>
        <v/>
      </c>
    </row>
    <row r="179">
      <c r="A179" s="9" t="n"/>
      <c r="B179" s="9" t="n"/>
      <c r="C179" s="9" t="n"/>
      <c r="D179" s="9" t="n"/>
      <c r="E179" s="9" t="n"/>
      <c r="F179" s="10" t="n"/>
      <c r="G179" s="10" t="n"/>
      <c r="H179" s="9" t="n"/>
      <c r="I179" s="9" t="n"/>
      <c r="J179" s="10" t="n"/>
      <c r="K179" s="9" t="n"/>
      <c r="L179" s="9" t="n"/>
      <c r="M179" s="10" t="n"/>
      <c r="N179" s="10" t="n"/>
      <c r="O179" s="10" t="n"/>
      <c r="P179" s="9" t="n"/>
      <c r="Q179" s="10" t="n"/>
      <c r="R179" s="9" t="n"/>
      <c r="S179" s="9" t="n"/>
      <c r="T179" s="10" t="n"/>
      <c r="U179" s="11">
        <f>IF(COUNTA(A179:T179)=0,"",IF(COUNTBLANK(A179)+COUNTBLANK(B179)+COUNTBLANK(C179)+COUNTBLANK(D179)+COUNTBLANK(E179)+COUNTBLANK(H179)+COUNTBLANK(I179)+COUNTBLANK(K179)+COUNTBLANK(P179)+COUNTBLANK(R179)+COUNTBLANK(S179)&gt;0,"eksik zorunlu alan var",IF(AND(K179="tutuldu",COUNTBLANK(L179)&gt;0),"tur_video bos",IF(AND(K179="hic_cikmadi",COUNTBLANK(L179)=0),"hic_cikmadi ama tur yazili",IF(AND(R179="evet",K179="tutuldu"),"TAMAM - negatif cikarimina uygun","TAMAM")))))</f>
        <v/>
      </c>
    </row>
    <row r="180">
      <c r="A180" s="9" t="n"/>
      <c r="B180" s="9" t="n"/>
      <c r="C180" s="9" t="n"/>
      <c r="D180" s="9" t="n"/>
      <c r="E180" s="9" t="n"/>
      <c r="F180" s="10" t="n"/>
      <c r="G180" s="10" t="n"/>
      <c r="H180" s="9" t="n"/>
      <c r="I180" s="9" t="n"/>
      <c r="J180" s="10" t="n"/>
      <c r="K180" s="9" t="n"/>
      <c r="L180" s="9" t="n"/>
      <c r="M180" s="10" t="n"/>
      <c r="N180" s="10" t="n"/>
      <c r="O180" s="10" t="n"/>
      <c r="P180" s="9" t="n"/>
      <c r="Q180" s="10" t="n"/>
      <c r="R180" s="9" t="n"/>
      <c r="S180" s="9" t="n"/>
      <c r="T180" s="10" t="n"/>
      <c r="U180" s="11">
        <f>IF(COUNTA(A180:T180)=0,"",IF(COUNTBLANK(A180)+COUNTBLANK(B180)+COUNTBLANK(C180)+COUNTBLANK(D180)+COUNTBLANK(E180)+COUNTBLANK(H180)+COUNTBLANK(I180)+COUNTBLANK(K180)+COUNTBLANK(P180)+COUNTBLANK(R180)+COUNTBLANK(S180)&gt;0,"eksik zorunlu alan var",IF(AND(K180="tutuldu",COUNTBLANK(L180)&gt;0),"tur_video bos",IF(AND(K180="hic_cikmadi",COUNTBLANK(L180)=0),"hic_cikmadi ama tur yazili",IF(AND(R180="evet",K180="tutuldu"),"TAMAM - negatif cikarimina uygun","TAMAM")))))</f>
        <v/>
      </c>
    </row>
    <row r="181">
      <c r="A181" s="9" t="n"/>
      <c r="B181" s="9" t="n"/>
      <c r="C181" s="9" t="n"/>
      <c r="D181" s="9" t="n"/>
      <c r="E181" s="9" t="n"/>
      <c r="F181" s="10" t="n"/>
      <c r="G181" s="10" t="n"/>
      <c r="H181" s="9" t="n"/>
      <c r="I181" s="9" t="n"/>
      <c r="J181" s="10" t="n"/>
      <c r="K181" s="9" t="n"/>
      <c r="L181" s="9" t="n"/>
      <c r="M181" s="10" t="n"/>
      <c r="N181" s="10" t="n"/>
      <c r="O181" s="10" t="n"/>
      <c r="P181" s="9" t="n"/>
      <c r="Q181" s="10" t="n"/>
      <c r="R181" s="9" t="n"/>
      <c r="S181" s="9" t="n"/>
      <c r="T181" s="10" t="n"/>
      <c r="U181" s="11">
        <f>IF(COUNTA(A181:T181)=0,"",IF(COUNTBLANK(A181)+COUNTBLANK(B181)+COUNTBLANK(C181)+COUNTBLANK(D181)+COUNTBLANK(E181)+COUNTBLANK(H181)+COUNTBLANK(I181)+COUNTBLANK(K181)+COUNTBLANK(P181)+COUNTBLANK(R181)+COUNTBLANK(S181)&gt;0,"eksik zorunlu alan var",IF(AND(K181="tutuldu",COUNTBLANK(L181)&gt;0),"tur_video bos",IF(AND(K181="hic_cikmadi",COUNTBLANK(L181)=0),"hic_cikmadi ama tur yazili",IF(AND(R181="evet",K181="tutuldu"),"TAMAM - negatif cikarimina uygun","TAMAM")))))</f>
        <v/>
      </c>
    </row>
    <row r="182">
      <c r="A182" s="9" t="n"/>
      <c r="B182" s="9" t="n"/>
      <c r="C182" s="9" t="n"/>
      <c r="D182" s="9" t="n"/>
      <c r="E182" s="9" t="n"/>
      <c r="F182" s="10" t="n"/>
      <c r="G182" s="10" t="n"/>
      <c r="H182" s="9" t="n"/>
      <c r="I182" s="9" t="n"/>
      <c r="J182" s="10" t="n"/>
      <c r="K182" s="9" t="n"/>
      <c r="L182" s="9" t="n"/>
      <c r="M182" s="10" t="n"/>
      <c r="N182" s="10" t="n"/>
      <c r="O182" s="10" t="n"/>
      <c r="P182" s="9" t="n"/>
      <c r="Q182" s="10" t="n"/>
      <c r="R182" s="9" t="n"/>
      <c r="S182" s="9" t="n"/>
      <c r="T182" s="10" t="n"/>
      <c r="U182" s="11">
        <f>IF(COUNTA(A182:T182)=0,"",IF(COUNTBLANK(A182)+COUNTBLANK(B182)+COUNTBLANK(C182)+COUNTBLANK(D182)+COUNTBLANK(E182)+COUNTBLANK(H182)+COUNTBLANK(I182)+COUNTBLANK(K182)+COUNTBLANK(P182)+COUNTBLANK(R182)+COUNTBLANK(S182)&gt;0,"eksik zorunlu alan var",IF(AND(K182="tutuldu",COUNTBLANK(L182)&gt;0),"tur_video bos",IF(AND(K182="hic_cikmadi",COUNTBLANK(L182)=0),"hic_cikmadi ama tur yazili",IF(AND(R182="evet",K182="tutuldu"),"TAMAM - negatif cikarimina uygun","TAMAM")))))</f>
        <v/>
      </c>
    </row>
    <row r="183">
      <c r="A183" s="9" t="n"/>
      <c r="B183" s="9" t="n"/>
      <c r="C183" s="9" t="n"/>
      <c r="D183" s="9" t="n"/>
      <c r="E183" s="9" t="n"/>
      <c r="F183" s="10" t="n"/>
      <c r="G183" s="10" t="n"/>
      <c r="H183" s="9" t="n"/>
      <c r="I183" s="9" t="n"/>
      <c r="J183" s="10" t="n"/>
      <c r="K183" s="9" t="n"/>
      <c r="L183" s="9" t="n"/>
      <c r="M183" s="10" t="n"/>
      <c r="N183" s="10" t="n"/>
      <c r="O183" s="10" t="n"/>
      <c r="P183" s="9" t="n"/>
      <c r="Q183" s="10" t="n"/>
      <c r="R183" s="9" t="n"/>
      <c r="S183" s="9" t="n"/>
      <c r="T183" s="10" t="n"/>
      <c r="U183" s="11">
        <f>IF(COUNTA(A183:T183)=0,"",IF(COUNTBLANK(A183)+COUNTBLANK(B183)+COUNTBLANK(C183)+COUNTBLANK(D183)+COUNTBLANK(E183)+COUNTBLANK(H183)+COUNTBLANK(I183)+COUNTBLANK(K183)+COUNTBLANK(P183)+COUNTBLANK(R183)+COUNTBLANK(S183)&gt;0,"eksik zorunlu alan var",IF(AND(K183="tutuldu",COUNTBLANK(L183)&gt;0),"tur_video bos",IF(AND(K183="hic_cikmadi",COUNTBLANK(L183)=0),"hic_cikmadi ama tur yazili",IF(AND(R183="evet",K183="tutuldu"),"TAMAM - negatif cikarimina uygun","TAMAM")))))</f>
        <v/>
      </c>
    </row>
    <row r="184">
      <c r="A184" s="9" t="n"/>
      <c r="B184" s="9" t="n"/>
      <c r="C184" s="9" t="n"/>
      <c r="D184" s="9" t="n"/>
      <c r="E184" s="9" t="n"/>
      <c r="F184" s="10" t="n"/>
      <c r="G184" s="10" t="n"/>
      <c r="H184" s="9" t="n"/>
      <c r="I184" s="9" t="n"/>
      <c r="J184" s="10" t="n"/>
      <c r="K184" s="9" t="n"/>
      <c r="L184" s="9" t="n"/>
      <c r="M184" s="10" t="n"/>
      <c r="N184" s="10" t="n"/>
      <c r="O184" s="10" t="n"/>
      <c r="P184" s="9" t="n"/>
      <c r="Q184" s="10" t="n"/>
      <c r="R184" s="9" t="n"/>
      <c r="S184" s="9" t="n"/>
      <c r="T184" s="10" t="n"/>
      <c r="U184" s="11">
        <f>IF(COUNTA(A184:T184)=0,"",IF(COUNTBLANK(A184)+COUNTBLANK(B184)+COUNTBLANK(C184)+COUNTBLANK(D184)+COUNTBLANK(E184)+COUNTBLANK(H184)+COUNTBLANK(I184)+COUNTBLANK(K184)+COUNTBLANK(P184)+COUNTBLANK(R184)+COUNTBLANK(S184)&gt;0,"eksik zorunlu alan var",IF(AND(K184="tutuldu",COUNTBLANK(L184)&gt;0),"tur_video bos",IF(AND(K184="hic_cikmadi",COUNTBLANK(L184)=0),"hic_cikmadi ama tur yazili",IF(AND(R184="evet",K184="tutuldu"),"TAMAM - negatif cikarimina uygun","TAMAM")))))</f>
        <v/>
      </c>
    </row>
    <row r="185">
      <c r="A185" s="9" t="n"/>
      <c r="B185" s="9" t="n"/>
      <c r="C185" s="9" t="n"/>
      <c r="D185" s="9" t="n"/>
      <c r="E185" s="9" t="n"/>
      <c r="F185" s="10" t="n"/>
      <c r="G185" s="10" t="n"/>
      <c r="H185" s="9" t="n"/>
      <c r="I185" s="9" t="n"/>
      <c r="J185" s="10" t="n"/>
      <c r="K185" s="9" t="n"/>
      <c r="L185" s="9" t="n"/>
      <c r="M185" s="10" t="n"/>
      <c r="N185" s="10" t="n"/>
      <c r="O185" s="10" t="n"/>
      <c r="P185" s="9" t="n"/>
      <c r="Q185" s="10" t="n"/>
      <c r="R185" s="9" t="n"/>
      <c r="S185" s="9" t="n"/>
      <c r="T185" s="10" t="n"/>
      <c r="U185" s="11">
        <f>IF(COUNTA(A185:T185)=0,"",IF(COUNTBLANK(A185)+COUNTBLANK(B185)+COUNTBLANK(C185)+COUNTBLANK(D185)+COUNTBLANK(E185)+COUNTBLANK(H185)+COUNTBLANK(I185)+COUNTBLANK(K185)+COUNTBLANK(P185)+COUNTBLANK(R185)+COUNTBLANK(S185)&gt;0,"eksik zorunlu alan var",IF(AND(K185="tutuldu",COUNTBLANK(L185)&gt;0),"tur_video bos",IF(AND(K185="hic_cikmadi",COUNTBLANK(L185)=0),"hic_cikmadi ama tur yazili",IF(AND(R185="evet",K185="tutuldu"),"TAMAM - negatif cikarimina uygun","TAMAM")))))</f>
        <v/>
      </c>
    </row>
    <row r="186">
      <c r="A186" s="9" t="n"/>
      <c r="B186" s="9" t="n"/>
      <c r="C186" s="9" t="n"/>
      <c r="D186" s="9" t="n"/>
      <c r="E186" s="9" t="n"/>
      <c r="F186" s="10" t="n"/>
      <c r="G186" s="10" t="n"/>
      <c r="H186" s="9" t="n"/>
      <c r="I186" s="9" t="n"/>
      <c r="J186" s="10" t="n"/>
      <c r="K186" s="9" t="n"/>
      <c r="L186" s="9" t="n"/>
      <c r="M186" s="10" t="n"/>
      <c r="N186" s="10" t="n"/>
      <c r="O186" s="10" t="n"/>
      <c r="P186" s="9" t="n"/>
      <c r="Q186" s="10" t="n"/>
      <c r="R186" s="9" t="n"/>
      <c r="S186" s="9" t="n"/>
      <c r="T186" s="10" t="n"/>
      <c r="U186" s="11">
        <f>IF(COUNTA(A186:T186)=0,"",IF(COUNTBLANK(A186)+COUNTBLANK(B186)+COUNTBLANK(C186)+COUNTBLANK(D186)+COUNTBLANK(E186)+COUNTBLANK(H186)+COUNTBLANK(I186)+COUNTBLANK(K186)+COUNTBLANK(P186)+COUNTBLANK(R186)+COUNTBLANK(S186)&gt;0,"eksik zorunlu alan var",IF(AND(K186="tutuldu",COUNTBLANK(L186)&gt;0),"tur_video bos",IF(AND(K186="hic_cikmadi",COUNTBLANK(L186)=0),"hic_cikmadi ama tur yazili",IF(AND(R186="evet",K186="tutuldu"),"TAMAM - negatif cikarimina uygun","TAMAM")))))</f>
        <v/>
      </c>
    </row>
    <row r="187">
      <c r="A187" s="9" t="n"/>
      <c r="B187" s="9" t="n"/>
      <c r="C187" s="9" t="n"/>
      <c r="D187" s="9" t="n"/>
      <c r="E187" s="9" t="n"/>
      <c r="F187" s="10" t="n"/>
      <c r="G187" s="10" t="n"/>
      <c r="H187" s="9" t="n"/>
      <c r="I187" s="9" t="n"/>
      <c r="J187" s="10" t="n"/>
      <c r="K187" s="9" t="n"/>
      <c r="L187" s="9" t="n"/>
      <c r="M187" s="10" t="n"/>
      <c r="N187" s="10" t="n"/>
      <c r="O187" s="10" t="n"/>
      <c r="P187" s="9" t="n"/>
      <c r="Q187" s="10" t="n"/>
      <c r="R187" s="9" t="n"/>
      <c r="S187" s="9" t="n"/>
      <c r="T187" s="10" t="n"/>
      <c r="U187" s="11">
        <f>IF(COUNTA(A187:T187)=0,"",IF(COUNTBLANK(A187)+COUNTBLANK(B187)+COUNTBLANK(C187)+COUNTBLANK(D187)+COUNTBLANK(E187)+COUNTBLANK(H187)+COUNTBLANK(I187)+COUNTBLANK(K187)+COUNTBLANK(P187)+COUNTBLANK(R187)+COUNTBLANK(S187)&gt;0,"eksik zorunlu alan var",IF(AND(K187="tutuldu",COUNTBLANK(L187)&gt;0),"tur_video bos",IF(AND(K187="hic_cikmadi",COUNTBLANK(L187)=0),"hic_cikmadi ama tur yazili",IF(AND(R187="evet",K187="tutuldu"),"TAMAM - negatif cikarimina uygun","TAMAM")))))</f>
        <v/>
      </c>
    </row>
    <row r="188">
      <c r="A188" s="9" t="n"/>
      <c r="B188" s="9" t="n"/>
      <c r="C188" s="9" t="n"/>
      <c r="D188" s="9" t="n"/>
      <c r="E188" s="9" t="n"/>
      <c r="F188" s="10" t="n"/>
      <c r="G188" s="10" t="n"/>
      <c r="H188" s="9" t="n"/>
      <c r="I188" s="9" t="n"/>
      <c r="J188" s="10" t="n"/>
      <c r="K188" s="9" t="n"/>
      <c r="L188" s="9" t="n"/>
      <c r="M188" s="10" t="n"/>
      <c r="N188" s="10" t="n"/>
      <c r="O188" s="10" t="n"/>
      <c r="P188" s="9" t="n"/>
      <c r="Q188" s="10" t="n"/>
      <c r="R188" s="9" t="n"/>
      <c r="S188" s="9" t="n"/>
      <c r="T188" s="10" t="n"/>
      <c r="U188" s="11">
        <f>IF(COUNTA(A188:T188)=0,"",IF(COUNTBLANK(A188)+COUNTBLANK(B188)+COUNTBLANK(C188)+COUNTBLANK(D188)+COUNTBLANK(E188)+COUNTBLANK(H188)+COUNTBLANK(I188)+COUNTBLANK(K188)+COUNTBLANK(P188)+COUNTBLANK(R188)+COUNTBLANK(S188)&gt;0,"eksik zorunlu alan var",IF(AND(K188="tutuldu",COUNTBLANK(L188)&gt;0),"tur_video bos",IF(AND(K188="hic_cikmadi",COUNTBLANK(L188)=0),"hic_cikmadi ama tur yazili",IF(AND(R188="evet",K188="tutuldu"),"TAMAM - negatif cikarimina uygun","TAMAM")))))</f>
        <v/>
      </c>
    </row>
    <row r="189">
      <c r="A189" s="9" t="n"/>
      <c r="B189" s="9" t="n"/>
      <c r="C189" s="9" t="n"/>
      <c r="D189" s="9" t="n"/>
      <c r="E189" s="9" t="n"/>
      <c r="F189" s="10" t="n"/>
      <c r="G189" s="10" t="n"/>
      <c r="H189" s="9" t="n"/>
      <c r="I189" s="9" t="n"/>
      <c r="J189" s="10" t="n"/>
      <c r="K189" s="9" t="n"/>
      <c r="L189" s="9" t="n"/>
      <c r="M189" s="10" t="n"/>
      <c r="N189" s="10" t="n"/>
      <c r="O189" s="10" t="n"/>
      <c r="P189" s="9" t="n"/>
      <c r="Q189" s="10" t="n"/>
      <c r="R189" s="9" t="n"/>
      <c r="S189" s="9" t="n"/>
      <c r="T189" s="10" t="n"/>
      <c r="U189" s="11">
        <f>IF(COUNTA(A189:T189)=0,"",IF(COUNTBLANK(A189)+COUNTBLANK(B189)+COUNTBLANK(C189)+COUNTBLANK(D189)+COUNTBLANK(E189)+COUNTBLANK(H189)+COUNTBLANK(I189)+COUNTBLANK(K189)+COUNTBLANK(P189)+COUNTBLANK(R189)+COUNTBLANK(S189)&gt;0,"eksik zorunlu alan var",IF(AND(K189="tutuldu",COUNTBLANK(L189)&gt;0),"tur_video bos",IF(AND(K189="hic_cikmadi",COUNTBLANK(L189)=0),"hic_cikmadi ama tur yazili",IF(AND(R189="evet",K189="tutuldu"),"TAMAM - negatif cikarimina uygun","TAMAM")))))</f>
        <v/>
      </c>
    </row>
    <row r="190">
      <c r="A190" s="9" t="n"/>
      <c r="B190" s="9" t="n"/>
      <c r="C190" s="9" t="n"/>
      <c r="D190" s="9" t="n"/>
      <c r="E190" s="9" t="n"/>
      <c r="F190" s="10" t="n"/>
      <c r="G190" s="10" t="n"/>
      <c r="H190" s="9" t="n"/>
      <c r="I190" s="9" t="n"/>
      <c r="J190" s="10" t="n"/>
      <c r="K190" s="9" t="n"/>
      <c r="L190" s="9" t="n"/>
      <c r="M190" s="10" t="n"/>
      <c r="N190" s="10" t="n"/>
      <c r="O190" s="10" t="n"/>
      <c r="P190" s="9" t="n"/>
      <c r="Q190" s="10" t="n"/>
      <c r="R190" s="9" t="n"/>
      <c r="S190" s="9" t="n"/>
      <c r="T190" s="10" t="n"/>
      <c r="U190" s="11">
        <f>IF(COUNTA(A190:T190)=0,"",IF(COUNTBLANK(A190)+COUNTBLANK(B190)+COUNTBLANK(C190)+COUNTBLANK(D190)+COUNTBLANK(E190)+COUNTBLANK(H190)+COUNTBLANK(I190)+COUNTBLANK(K190)+COUNTBLANK(P190)+COUNTBLANK(R190)+COUNTBLANK(S190)&gt;0,"eksik zorunlu alan var",IF(AND(K190="tutuldu",COUNTBLANK(L190)&gt;0),"tur_video bos",IF(AND(K190="hic_cikmadi",COUNTBLANK(L190)=0),"hic_cikmadi ama tur yazili",IF(AND(R190="evet",K190="tutuldu"),"TAMAM - negatif cikarimina uygun","TAMAM")))))</f>
        <v/>
      </c>
    </row>
    <row r="191">
      <c r="A191" s="9" t="n"/>
      <c r="B191" s="9" t="n"/>
      <c r="C191" s="9" t="n"/>
      <c r="D191" s="9" t="n"/>
      <c r="E191" s="9" t="n"/>
      <c r="F191" s="10" t="n"/>
      <c r="G191" s="10" t="n"/>
      <c r="H191" s="9" t="n"/>
      <c r="I191" s="9" t="n"/>
      <c r="J191" s="10" t="n"/>
      <c r="K191" s="9" t="n"/>
      <c r="L191" s="9" t="n"/>
      <c r="M191" s="10" t="n"/>
      <c r="N191" s="10" t="n"/>
      <c r="O191" s="10" t="n"/>
      <c r="P191" s="9" t="n"/>
      <c r="Q191" s="10" t="n"/>
      <c r="R191" s="9" t="n"/>
      <c r="S191" s="9" t="n"/>
      <c r="T191" s="10" t="n"/>
      <c r="U191" s="11">
        <f>IF(COUNTA(A191:T191)=0,"",IF(COUNTBLANK(A191)+COUNTBLANK(B191)+COUNTBLANK(C191)+COUNTBLANK(D191)+COUNTBLANK(E191)+COUNTBLANK(H191)+COUNTBLANK(I191)+COUNTBLANK(K191)+COUNTBLANK(P191)+COUNTBLANK(R191)+COUNTBLANK(S191)&gt;0,"eksik zorunlu alan var",IF(AND(K191="tutuldu",COUNTBLANK(L191)&gt;0),"tur_video bos",IF(AND(K191="hic_cikmadi",COUNTBLANK(L191)=0),"hic_cikmadi ama tur yazili",IF(AND(R191="evet",K191="tutuldu"),"TAMAM - negatif cikarimina uygun","TAMAM")))))</f>
        <v/>
      </c>
    </row>
    <row r="192">
      <c r="A192" s="9" t="n"/>
      <c r="B192" s="9" t="n"/>
      <c r="C192" s="9" t="n"/>
      <c r="D192" s="9" t="n"/>
      <c r="E192" s="9" t="n"/>
      <c r="F192" s="10" t="n"/>
      <c r="G192" s="10" t="n"/>
      <c r="H192" s="9" t="n"/>
      <c r="I192" s="9" t="n"/>
      <c r="J192" s="10" t="n"/>
      <c r="K192" s="9" t="n"/>
      <c r="L192" s="9" t="n"/>
      <c r="M192" s="10" t="n"/>
      <c r="N192" s="10" t="n"/>
      <c r="O192" s="10" t="n"/>
      <c r="P192" s="9" t="n"/>
      <c r="Q192" s="10" t="n"/>
      <c r="R192" s="9" t="n"/>
      <c r="S192" s="9" t="n"/>
      <c r="T192" s="10" t="n"/>
      <c r="U192" s="11">
        <f>IF(COUNTA(A192:T192)=0,"",IF(COUNTBLANK(A192)+COUNTBLANK(B192)+COUNTBLANK(C192)+COUNTBLANK(D192)+COUNTBLANK(E192)+COUNTBLANK(H192)+COUNTBLANK(I192)+COUNTBLANK(K192)+COUNTBLANK(P192)+COUNTBLANK(R192)+COUNTBLANK(S192)&gt;0,"eksik zorunlu alan var",IF(AND(K192="tutuldu",COUNTBLANK(L192)&gt;0),"tur_video bos",IF(AND(K192="hic_cikmadi",COUNTBLANK(L192)=0),"hic_cikmadi ama tur yazili",IF(AND(R192="evet",K192="tutuldu"),"TAMAM - negatif cikarimina uygun","TAMAM")))))</f>
        <v/>
      </c>
    </row>
    <row r="193">
      <c r="A193" s="9" t="n"/>
      <c r="B193" s="9" t="n"/>
      <c r="C193" s="9" t="n"/>
      <c r="D193" s="9" t="n"/>
      <c r="E193" s="9" t="n"/>
      <c r="F193" s="10" t="n"/>
      <c r="G193" s="10" t="n"/>
      <c r="H193" s="9" t="n"/>
      <c r="I193" s="9" t="n"/>
      <c r="J193" s="10" t="n"/>
      <c r="K193" s="9" t="n"/>
      <c r="L193" s="9" t="n"/>
      <c r="M193" s="10" t="n"/>
      <c r="N193" s="10" t="n"/>
      <c r="O193" s="10" t="n"/>
      <c r="P193" s="9" t="n"/>
      <c r="Q193" s="10" t="n"/>
      <c r="R193" s="9" t="n"/>
      <c r="S193" s="9" t="n"/>
      <c r="T193" s="10" t="n"/>
      <c r="U193" s="11">
        <f>IF(COUNTA(A193:T193)=0,"",IF(COUNTBLANK(A193)+COUNTBLANK(B193)+COUNTBLANK(C193)+COUNTBLANK(D193)+COUNTBLANK(E193)+COUNTBLANK(H193)+COUNTBLANK(I193)+COUNTBLANK(K193)+COUNTBLANK(P193)+COUNTBLANK(R193)+COUNTBLANK(S193)&gt;0,"eksik zorunlu alan var",IF(AND(K193="tutuldu",COUNTBLANK(L193)&gt;0),"tur_video bos",IF(AND(K193="hic_cikmadi",COUNTBLANK(L193)=0),"hic_cikmadi ama tur yazili",IF(AND(R193="evet",K193="tutuldu"),"TAMAM - negatif cikarimina uygun","TAMAM")))))</f>
        <v/>
      </c>
    </row>
    <row r="194">
      <c r="A194" s="9" t="n"/>
      <c r="B194" s="9" t="n"/>
      <c r="C194" s="9" t="n"/>
      <c r="D194" s="9" t="n"/>
      <c r="E194" s="9" t="n"/>
      <c r="F194" s="10" t="n"/>
      <c r="G194" s="10" t="n"/>
      <c r="H194" s="9" t="n"/>
      <c r="I194" s="9" t="n"/>
      <c r="J194" s="10" t="n"/>
      <c r="K194" s="9" t="n"/>
      <c r="L194" s="9" t="n"/>
      <c r="M194" s="10" t="n"/>
      <c r="N194" s="10" t="n"/>
      <c r="O194" s="10" t="n"/>
      <c r="P194" s="9" t="n"/>
      <c r="Q194" s="10" t="n"/>
      <c r="R194" s="9" t="n"/>
      <c r="S194" s="9" t="n"/>
      <c r="T194" s="10" t="n"/>
      <c r="U194" s="11">
        <f>IF(COUNTA(A194:T194)=0,"",IF(COUNTBLANK(A194)+COUNTBLANK(B194)+COUNTBLANK(C194)+COUNTBLANK(D194)+COUNTBLANK(E194)+COUNTBLANK(H194)+COUNTBLANK(I194)+COUNTBLANK(K194)+COUNTBLANK(P194)+COUNTBLANK(R194)+COUNTBLANK(S194)&gt;0,"eksik zorunlu alan var",IF(AND(K194="tutuldu",COUNTBLANK(L194)&gt;0),"tur_video bos",IF(AND(K194="hic_cikmadi",COUNTBLANK(L194)=0),"hic_cikmadi ama tur yazili",IF(AND(R194="evet",K194="tutuldu"),"TAMAM - negatif cikarimina uygun","TAMAM")))))</f>
        <v/>
      </c>
    </row>
    <row r="195">
      <c r="A195" s="9" t="n"/>
      <c r="B195" s="9" t="n"/>
      <c r="C195" s="9" t="n"/>
      <c r="D195" s="9" t="n"/>
      <c r="E195" s="9" t="n"/>
      <c r="F195" s="10" t="n"/>
      <c r="G195" s="10" t="n"/>
      <c r="H195" s="9" t="n"/>
      <c r="I195" s="9" t="n"/>
      <c r="J195" s="10" t="n"/>
      <c r="K195" s="9" t="n"/>
      <c r="L195" s="9" t="n"/>
      <c r="M195" s="10" t="n"/>
      <c r="N195" s="10" t="n"/>
      <c r="O195" s="10" t="n"/>
      <c r="P195" s="9" t="n"/>
      <c r="Q195" s="10" t="n"/>
      <c r="R195" s="9" t="n"/>
      <c r="S195" s="9" t="n"/>
      <c r="T195" s="10" t="n"/>
      <c r="U195" s="11">
        <f>IF(COUNTA(A195:T195)=0,"",IF(COUNTBLANK(A195)+COUNTBLANK(B195)+COUNTBLANK(C195)+COUNTBLANK(D195)+COUNTBLANK(E195)+COUNTBLANK(H195)+COUNTBLANK(I195)+COUNTBLANK(K195)+COUNTBLANK(P195)+COUNTBLANK(R195)+COUNTBLANK(S195)&gt;0,"eksik zorunlu alan var",IF(AND(K195="tutuldu",COUNTBLANK(L195)&gt;0),"tur_video bos",IF(AND(K195="hic_cikmadi",COUNTBLANK(L195)=0),"hic_cikmadi ama tur yazili",IF(AND(R195="evet",K195="tutuldu"),"TAMAM - negatif cikarimina uygun","TAMAM")))))</f>
        <v/>
      </c>
    </row>
    <row r="196">
      <c r="A196" s="9" t="n"/>
      <c r="B196" s="9" t="n"/>
      <c r="C196" s="9" t="n"/>
      <c r="D196" s="9" t="n"/>
      <c r="E196" s="9" t="n"/>
      <c r="F196" s="10" t="n"/>
      <c r="G196" s="10" t="n"/>
      <c r="H196" s="9" t="n"/>
      <c r="I196" s="9" t="n"/>
      <c r="J196" s="10" t="n"/>
      <c r="K196" s="9" t="n"/>
      <c r="L196" s="9" t="n"/>
      <c r="M196" s="10" t="n"/>
      <c r="N196" s="10" t="n"/>
      <c r="O196" s="10" t="n"/>
      <c r="P196" s="9" t="n"/>
      <c r="Q196" s="10" t="n"/>
      <c r="R196" s="9" t="n"/>
      <c r="S196" s="9" t="n"/>
      <c r="T196" s="10" t="n"/>
      <c r="U196" s="11">
        <f>IF(COUNTA(A196:T196)=0,"",IF(COUNTBLANK(A196)+COUNTBLANK(B196)+COUNTBLANK(C196)+COUNTBLANK(D196)+COUNTBLANK(E196)+COUNTBLANK(H196)+COUNTBLANK(I196)+COUNTBLANK(K196)+COUNTBLANK(P196)+COUNTBLANK(R196)+COUNTBLANK(S196)&gt;0,"eksik zorunlu alan var",IF(AND(K196="tutuldu",COUNTBLANK(L196)&gt;0),"tur_video bos",IF(AND(K196="hic_cikmadi",COUNTBLANK(L196)=0),"hic_cikmadi ama tur yazili",IF(AND(R196="evet",K196="tutuldu"),"TAMAM - negatif cikarimina uygun","TAMAM")))))</f>
        <v/>
      </c>
    </row>
    <row r="197">
      <c r="A197" s="9" t="n"/>
      <c r="B197" s="9" t="n"/>
      <c r="C197" s="9" t="n"/>
      <c r="D197" s="9" t="n"/>
      <c r="E197" s="9" t="n"/>
      <c r="F197" s="10" t="n"/>
      <c r="G197" s="10" t="n"/>
      <c r="H197" s="9" t="n"/>
      <c r="I197" s="9" t="n"/>
      <c r="J197" s="10" t="n"/>
      <c r="K197" s="9" t="n"/>
      <c r="L197" s="9" t="n"/>
      <c r="M197" s="10" t="n"/>
      <c r="N197" s="10" t="n"/>
      <c r="O197" s="10" t="n"/>
      <c r="P197" s="9" t="n"/>
      <c r="Q197" s="10" t="n"/>
      <c r="R197" s="9" t="n"/>
      <c r="S197" s="9" t="n"/>
      <c r="T197" s="10" t="n"/>
      <c r="U197" s="11">
        <f>IF(COUNTA(A197:T197)=0,"",IF(COUNTBLANK(A197)+COUNTBLANK(B197)+COUNTBLANK(C197)+COUNTBLANK(D197)+COUNTBLANK(E197)+COUNTBLANK(H197)+COUNTBLANK(I197)+COUNTBLANK(K197)+COUNTBLANK(P197)+COUNTBLANK(R197)+COUNTBLANK(S197)&gt;0,"eksik zorunlu alan var",IF(AND(K197="tutuldu",COUNTBLANK(L197)&gt;0),"tur_video bos",IF(AND(K197="hic_cikmadi",COUNTBLANK(L197)=0),"hic_cikmadi ama tur yazili",IF(AND(R197="evet",K197="tutuldu"),"TAMAM - negatif cikarimina uygun","TAMAM")))))</f>
        <v/>
      </c>
    </row>
    <row r="198">
      <c r="A198" s="9" t="n"/>
      <c r="B198" s="9" t="n"/>
      <c r="C198" s="9" t="n"/>
      <c r="D198" s="9" t="n"/>
      <c r="E198" s="9" t="n"/>
      <c r="F198" s="10" t="n"/>
      <c r="G198" s="10" t="n"/>
      <c r="H198" s="9" t="n"/>
      <c r="I198" s="9" t="n"/>
      <c r="J198" s="10" t="n"/>
      <c r="K198" s="9" t="n"/>
      <c r="L198" s="9" t="n"/>
      <c r="M198" s="10" t="n"/>
      <c r="N198" s="10" t="n"/>
      <c r="O198" s="10" t="n"/>
      <c r="P198" s="9" t="n"/>
      <c r="Q198" s="10" t="n"/>
      <c r="R198" s="9" t="n"/>
      <c r="S198" s="9" t="n"/>
      <c r="T198" s="10" t="n"/>
      <c r="U198" s="11">
        <f>IF(COUNTA(A198:T198)=0,"",IF(COUNTBLANK(A198)+COUNTBLANK(B198)+COUNTBLANK(C198)+COUNTBLANK(D198)+COUNTBLANK(E198)+COUNTBLANK(H198)+COUNTBLANK(I198)+COUNTBLANK(K198)+COUNTBLANK(P198)+COUNTBLANK(R198)+COUNTBLANK(S198)&gt;0,"eksik zorunlu alan var",IF(AND(K198="tutuldu",COUNTBLANK(L198)&gt;0),"tur_video bos",IF(AND(K198="hic_cikmadi",COUNTBLANK(L198)=0),"hic_cikmadi ama tur yazili",IF(AND(R198="evet",K198="tutuldu"),"TAMAM - negatif cikarimina uygun","TAMAM")))))</f>
        <v/>
      </c>
    </row>
    <row r="199">
      <c r="A199" s="9" t="n"/>
      <c r="B199" s="9" t="n"/>
      <c r="C199" s="9" t="n"/>
      <c r="D199" s="9" t="n"/>
      <c r="E199" s="9" t="n"/>
      <c r="F199" s="10" t="n"/>
      <c r="G199" s="10" t="n"/>
      <c r="H199" s="9" t="n"/>
      <c r="I199" s="9" t="n"/>
      <c r="J199" s="10" t="n"/>
      <c r="K199" s="9" t="n"/>
      <c r="L199" s="9" t="n"/>
      <c r="M199" s="10" t="n"/>
      <c r="N199" s="10" t="n"/>
      <c r="O199" s="10" t="n"/>
      <c r="P199" s="9" t="n"/>
      <c r="Q199" s="10" t="n"/>
      <c r="R199" s="9" t="n"/>
      <c r="S199" s="9" t="n"/>
      <c r="T199" s="10" t="n"/>
      <c r="U199" s="11">
        <f>IF(COUNTA(A199:T199)=0,"",IF(COUNTBLANK(A199)+COUNTBLANK(B199)+COUNTBLANK(C199)+COUNTBLANK(D199)+COUNTBLANK(E199)+COUNTBLANK(H199)+COUNTBLANK(I199)+COUNTBLANK(K199)+COUNTBLANK(P199)+COUNTBLANK(R199)+COUNTBLANK(S199)&gt;0,"eksik zorunlu alan var",IF(AND(K199="tutuldu",COUNTBLANK(L199)&gt;0),"tur_video bos",IF(AND(K199="hic_cikmadi",COUNTBLANK(L199)=0),"hic_cikmadi ama tur yazili",IF(AND(R199="evet",K199="tutuldu"),"TAMAM - negatif cikarimina uygun","TAMAM")))))</f>
        <v/>
      </c>
    </row>
    <row r="200">
      <c r="A200" s="9" t="n"/>
      <c r="B200" s="9" t="n"/>
      <c r="C200" s="9" t="n"/>
      <c r="D200" s="9" t="n"/>
      <c r="E200" s="9" t="n"/>
      <c r="F200" s="10" t="n"/>
      <c r="G200" s="10" t="n"/>
      <c r="H200" s="9" t="n"/>
      <c r="I200" s="9" t="n"/>
      <c r="J200" s="10" t="n"/>
      <c r="K200" s="9" t="n"/>
      <c r="L200" s="9" t="n"/>
      <c r="M200" s="10" t="n"/>
      <c r="N200" s="10" t="n"/>
      <c r="O200" s="10" t="n"/>
      <c r="P200" s="9" t="n"/>
      <c r="Q200" s="10" t="n"/>
      <c r="R200" s="9" t="n"/>
      <c r="S200" s="9" t="n"/>
      <c r="T200" s="10" t="n"/>
      <c r="U200" s="11">
        <f>IF(COUNTA(A200:T200)=0,"",IF(COUNTBLANK(A200)+COUNTBLANK(B200)+COUNTBLANK(C200)+COUNTBLANK(D200)+COUNTBLANK(E200)+COUNTBLANK(H200)+COUNTBLANK(I200)+COUNTBLANK(K200)+COUNTBLANK(P200)+COUNTBLANK(R200)+COUNTBLANK(S200)&gt;0,"eksik zorunlu alan var",IF(AND(K200="tutuldu",COUNTBLANK(L200)&gt;0),"tur_video bos",IF(AND(K200="hic_cikmadi",COUNTBLANK(L200)=0),"hic_cikmadi ama tur yazili",IF(AND(R200="evet",K200="tutuldu"),"TAMAM - negatif cikarimina uygun","TAMAM")))))</f>
        <v/>
      </c>
    </row>
    <row r="201">
      <c r="A201" s="9" t="n"/>
      <c r="B201" s="9" t="n"/>
      <c r="C201" s="9" t="n"/>
      <c r="D201" s="9" t="n"/>
      <c r="E201" s="9" t="n"/>
      <c r="F201" s="10" t="n"/>
      <c r="G201" s="10" t="n"/>
      <c r="H201" s="9" t="n"/>
      <c r="I201" s="9" t="n"/>
      <c r="J201" s="10" t="n"/>
      <c r="K201" s="9" t="n"/>
      <c r="L201" s="9" t="n"/>
      <c r="M201" s="10" t="n"/>
      <c r="N201" s="10" t="n"/>
      <c r="O201" s="10" t="n"/>
      <c r="P201" s="9" t="n"/>
      <c r="Q201" s="10" t="n"/>
      <c r="R201" s="9" t="n"/>
      <c r="S201" s="9" t="n"/>
      <c r="T201" s="10" t="n"/>
      <c r="U201" s="11">
        <f>IF(COUNTA(A201:T201)=0,"",IF(COUNTBLANK(A201)+COUNTBLANK(B201)+COUNTBLANK(C201)+COUNTBLANK(D201)+COUNTBLANK(E201)+COUNTBLANK(H201)+COUNTBLANK(I201)+COUNTBLANK(K201)+COUNTBLANK(P201)+COUNTBLANK(R201)+COUNTBLANK(S201)&gt;0,"eksik zorunlu alan var",IF(AND(K201="tutuldu",COUNTBLANK(L201)&gt;0),"tur_video bos",IF(AND(K201="hic_cikmadi",COUNTBLANK(L201)=0),"hic_cikmadi ama tur yazili",IF(AND(R201="evet",K201="tutuldu"),"TAMAM - negatif cikarimina uygun","TAMAM")))))</f>
        <v/>
      </c>
    </row>
    <row r="202">
      <c r="A202" s="9" t="n"/>
      <c r="B202" s="9" t="n"/>
      <c r="C202" s="9" t="n"/>
      <c r="D202" s="9" t="n"/>
      <c r="E202" s="9" t="n"/>
      <c r="F202" s="10" t="n"/>
      <c r="G202" s="10" t="n"/>
      <c r="H202" s="9" t="n"/>
      <c r="I202" s="9" t="n"/>
      <c r="J202" s="10" t="n"/>
      <c r="K202" s="9" t="n"/>
      <c r="L202" s="9" t="n"/>
      <c r="M202" s="10" t="n"/>
      <c r="N202" s="10" t="n"/>
      <c r="O202" s="10" t="n"/>
      <c r="P202" s="9" t="n"/>
      <c r="Q202" s="10" t="n"/>
      <c r="R202" s="9" t="n"/>
      <c r="S202" s="9" t="n"/>
      <c r="T202" s="10" t="n"/>
      <c r="U202" s="11">
        <f>IF(COUNTA(A202:T202)=0,"",IF(COUNTBLANK(A202)+COUNTBLANK(B202)+COUNTBLANK(C202)+COUNTBLANK(D202)+COUNTBLANK(E202)+COUNTBLANK(H202)+COUNTBLANK(I202)+COUNTBLANK(K202)+COUNTBLANK(P202)+COUNTBLANK(R202)+COUNTBLANK(S202)&gt;0,"eksik zorunlu alan var",IF(AND(K202="tutuldu",COUNTBLANK(L202)&gt;0),"tur_video bos",IF(AND(K202="hic_cikmadi",COUNTBLANK(L202)=0),"hic_cikmadi ama tur yazili",IF(AND(R202="evet",K202="tutuldu"),"TAMAM - negatif cikarimina uygun","TAMAM")))))</f>
        <v/>
      </c>
    </row>
    <row r="203">
      <c r="A203" s="9" t="n"/>
      <c r="B203" s="9" t="n"/>
      <c r="C203" s="9" t="n"/>
      <c r="D203" s="9" t="n"/>
      <c r="E203" s="9" t="n"/>
      <c r="F203" s="10" t="n"/>
      <c r="G203" s="10" t="n"/>
      <c r="H203" s="9" t="n"/>
      <c r="I203" s="9" t="n"/>
      <c r="J203" s="10" t="n"/>
      <c r="K203" s="9" t="n"/>
      <c r="L203" s="9" t="n"/>
      <c r="M203" s="10" t="n"/>
      <c r="N203" s="10" t="n"/>
      <c r="O203" s="10" t="n"/>
      <c r="P203" s="9" t="n"/>
      <c r="Q203" s="10" t="n"/>
      <c r="R203" s="9" t="n"/>
      <c r="S203" s="9" t="n"/>
      <c r="T203" s="10" t="n"/>
      <c r="U203" s="11">
        <f>IF(COUNTA(A203:T203)=0,"",IF(COUNTBLANK(A203)+COUNTBLANK(B203)+COUNTBLANK(C203)+COUNTBLANK(D203)+COUNTBLANK(E203)+COUNTBLANK(H203)+COUNTBLANK(I203)+COUNTBLANK(K203)+COUNTBLANK(P203)+COUNTBLANK(R203)+COUNTBLANK(S203)&gt;0,"eksik zorunlu alan var",IF(AND(K203="tutuldu",COUNTBLANK(L203)&gt;0),"tur_video bos",IF(AND(K203="hic_cikmadi",COUNTBLANK(L203)=0),"hic_cikmadi ama tur yazili",IF(AND(R203="evet",K203="tutuldu"),"TAMAM - negatif cikarimina uygun","TAMAM")))))</f>
        <v/>
      </c>
    </row>
    <row r="204">
      <c r="A204" s="9" t="n"/>
      <c r="B204" s="9" t="n"/>
      <c r="C204" s="9" t="n"/>
      <c r="D204" s="9" t="n"/>
      <c r="E204" s="9" t="n"/>
      <c r="F204" s="10" t="n"/>
      <c r="G204" s="10" t="n"/>
      <c r="H204" s="9" t="n"/>
      <c r="I204" s="9" t="n"/>
      <c r="J204" s="10" t="n"/>
      <c r="K204" s="9" t="n"/>
      <c r="L204" s="9" t="n"/>
      <c r="M204" s="10" t="n"/>
      <c r="N204" s="10" t="n"/>
      <c r="O204" s="10" t="n"/>
      <c r="P204" s="9" t="n"/>
      <c r="Q204" s="10" t="n"/>
      <c r="R204" s="9" t="n"/>
      <c r="S204" s="9" t="n"/>
      <c r="T204" s="10" t="n"/>
      <c r="U204" s="11">
        <f>IF(COUNTA(A204:T204)=0,"",IF(COUNTBLANK(A204)+COUNTBLANK(B204)+COUNTBLANK(C204)+COUNTBLANK(D204)+COUNTBLANK(E204)+COUNTBLANK(H204)+COUNTBLANK(I204)+COUNTBLANK(K204)+COUNTBLANK(P204)+COUNTBLANK(R204)+COUNTBLANK(S204)&gt;0,"eksik zorunlu alan var",IF(AND(K204="tutuldu",COUNTBLANK(L204)&gt;0),"tur_video bos",IF(AND(K204="hic_cikmadi",COUNTBLANK(L204)=0),"hic_cikmadi ama tur yazili",IF(AND(R204="evet",K204="tutuldu"),"TAMAM - negatif cikarimina uygun","TAMAM")))))</f>
        <v/>
      </c>
    </row>
    <row r="205">
      <c r="A205" s="9" t="n"/>
      <c r="B205" s="9" t="n"/>
      <c r="C205" s="9" t="n"/>
      <c r="D205" s="9" t="n"/>
      <c r="E205" s="9" t="n"/>
      <c r="F205" s="10" t="n"/>
      <c r="G205" s="10" t="n"/>
      <c r="H205" s="9" t="n"/>
      <c r="I205" s="9" t="n"/>
      <c r="J205" s="10" t="n"/>
      <c r="K205" s="9" t="n"/>
      <c r="L205" s="9" t="n"/>
      <c r="M205" s="10" t="n"/>
      <c r="N205" s="10" t="n"/>
      <c r="O205" s="10" t="n"/>
      <c r="P205" s="9" t="n"/>
      <c r="Q205" s="10" t="n"/>
      <c r="R205" s="9" t="n"/>
      <c r="S205" s="9" t="n"/>
      <c r="T205" s="10" t="n"/>
      <c r="U205" s="11">
        <f>IF(COUNTA(A205:T205)=0,"",IF(COUNTBLANK(A205)+COUNTBLANK(B205)+COUNTBLANK(C205)+COUNTBLANK(D205)+COUNTBLANK(E205)+COUNTBLANK(H205)+COUNTBLANK(I205)+COUNTBLANK(K205)+COUNTBLANK(P205)+COUNTBLANK(R205)+COUNTBLANK(S205)&gt;0,"eksik zorunlu alan var",IF(AND(K205="tutuldu",COUNTBLANK(L205)&gt;0),"tur_video bos",IF(AND(K205="hic_cikmadi",COUNTBLANK(L205)=0),"hic_cikmadi ama tur yazili",IF(AND(R205="evet",K205="tutuldu"),"TAMAM - negatif cikarimina uygun","TAMAM")))))</f>
        <v/>
      </c>
    </row>
  </sheetData>
  <autoFilter ref="A1:U205"/>
  <dataValidations count="9">
    <dataValidation sqref="D6:D205" showDropDown="0" showInputMessage="0" showErrorMessage="1" allowBlank="1" errorTitle="Tarih kesinliği" error="gun / hafta / ay / mevsim seçeneklerinden biri olmalı." type="list">
      <formula1>"gun,hafta,ay,mevsim"</formula1>
    </dataValidation>
    <dataValidation sqref="H6:H205" showDropDown="0" showInputMessage="0" showErrorMessage="1" allowBlank="1" errorTitle="Konum kesinliği" error="nokta / mevki / ilce / bilinmiyor seçeneklerinden biri olmalı." type="list">
      <formula1>"nokta,mevki,ilce,bilinmiyor"</formula1>
    </dataValidation>
    <dataValidation sqref="I6:I205" showDropDown="0" showInputMessage="0" showErrorMessage="1" allowBlank="1" errorTitle="Zaman" error="gunduz / gece / safak / aksamustu / bilinmiyor olmalı." type="list">
      <formula1>"gunduz,gece,safak,aksamustu,bilinmiyor"</formula1>
    </dataValidation>
    <dataValidation sqref="K6:K205" showDropDown="0" showInputMessage="0" showErrorMessage="1" allowBlank="1" errorTitle="Sonuç" error="tutuldu veya hic_cikmadi olmalı." type="list">
      <formula1>"tutuldu,hic_cikmadi"</formula1>
    </dataValidation>
    <dataValidation sqref="P6:P205" showDropDown="0" showInputMessage="0" showErrorMessage="1" allowBlank="1" errorTitle="Yöntem" error="Listedeki yöntemlerden biri olmalı." type="list">
      <formula1>"kiyi_dip,kiyi_spin,kiyi_capari,tekne_dip,tekne_trolling,eging_zoka,zipkin,bilinmiyor"</formula1>
    </dataValidation>
    <dataValidation sqref="R6:R205" showDropDown="0" showInputMessage="0" showErrorMessage="1" allowBlank="1" errorTitle="Tam liste" error="evet / hayir / bilinmiyor olmalı." type="list">
      <formula1>"evet,hayir,bilinmiyor"</formula1>
    </dataValidation>
    <dataValidation sqref="S6:S205" showDropDown="0" showInputMessage="0" showErrorMessage="1" allowBlank="1" errorTitle="Güven" error="1, 2 veya 3 olmalı." type="list">
      <formula1>"1,2,3"</formula1>
    </dataValidation>
    <dataValidation sqref="M6:M205" showDropDown="0" showInputMessage="0" showErrorMessage="1" allowBlank="1" errorTitle="Tür anahtarı" error="Türler sayfasındaki anahtarlardan biri olmalı. Emin değilseniz BOŞ bırakın." type="list">
      <formula1>=Turler!$A$2:$A$77</formula1>
    </dataValidation>
    <dataValidation sqref="A6:A205" showDropDown="0" showInputMessage="0" showErrorMessage="1" allowBlank="1" errorTitle="gezi_id" error="Gezi numarası 1 veya daha büyük bir tam sayı olmalı." type="whole" operator="between">
      <formula1>1</formula1>
      <formula2>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30" customWidth="1" min="12" max="12"/>
    <col width="34" customWidth="1" min="13" max="13"/>
    <col width="26" customWidth="1" min="14" max="14"/>
  </cols>
  <sheetData>
    <row r="1">
      <c r="A1" s="12" t="inlineStr">
        <is>
          <t>anahtar</t>
        </is>
      </c>
      <c r="B1" s="12" t="inlineStr">
        <is>
          <t>ad</t>
        </is>
      </c>
      <c r="C1" s="12" t="inlineStr">
        <is>
          <t>latince</t>
        </is>
      </c>
      <c r="D1" s="12" t="inlineStr">
        <is>
          <t>kategori</t>
        </is>
      </c>
      <c r="E1" s="12" t="inlineStr">
        <is>
          <t>av_tarzi</t>
        </is>
      </c>
      <c r="F1" s="12" t="inlineStr">
        <is>
          <t>aktiflik</t>
        </is>
      </c>
      <c r="G1" s="12" t="inlineStr">
        <is>
          <t>derinlik_min</t>
        </is>
      </c>
      <c r="H1" s="12" t="inlineStr">
        <is>
          <t>derinlik_max</t>
        </is>
      </c>
      <c r="I1" s="12" t="inlineStr">
        <is>
          <t>sic_min</t>
        </is>
      </c>
      <c r="J1" s="12" t="inlineStr">
        <is>
          <t>sic_opt</t>
        </is>
      </c>
      <c r="K1" s="12" t="inlineStr">
        <is>
          <t>sic_max</t>
        </is>
      </c>
      <c r="L1" s="12" t="inlineStr">
        <is>
          <t>takim</t>
        </is>
      </c>
      <c r="M1" s="12" t="inlineStr">
        <is>
          <t>yem</t>
        </is>
      </c>
      <c r="N1" s="12" t="inlineStr">
        <is>
          <t>bolgeler</t>
        </is>
      </c>
    </row>
    <row r="2">
      <c r="A2" s="13" t="inlineStr">
        <is>
          <t>ahtapot</t>
        </is>
      </c>
      <c r="B2" s="13" t="inlineStr">
        <is>
          <t>Ahtapot</t>
        </is>
      </c>
      <c r="C2" s="13" t="inlineStr">
        <is>
          <t>Octopus vulgaris</t>
        </is>
      </c>
      <c r="D2" s="13" t="inlineStr">
        <is>
          <t>KAFADANBACAKLI</t>
        </is>
      </c>
      <c r="E2" s="13" t="inlineStr">
        <is>
          <t>chemosensory</t>
        </is>
      </c>
      <c r="F2" s="13" t="inlineStr">
        <is>
          <t>DAWN_DUSK</t>
        </is>
      </c>
      <c r="G2" s="13" t="n">
        <v>1</v>
      </c>
      <c r="H2" s="13" t="n">
        <v>120</v>
      </c>
      <c r="I2" s="13" t="n">
        <v>10</v>
      </c>
      <c r="J2" s="13" t="n">
        <v>20</v>
      </c>
      <c r="K2" s="13" t="n">
        <v>27</v>
      </c>
      <c r="L2" s="13" t="inlineStr">
        <is>
          <t>Çarpmalı Zoka</t>
        </is>
      </c>
      <c r="M2" s="13" t="inlineStr">
        <is>
          <t>Yengeç, Tavuk But</t>
        </is>
      </c>
      <c r="N2" s="13" t="inlineStr">
        <is>
          <t>EGE+AKDENİZ+MARMARA</t>
        </is>
      </c>
    </row>
    <row r="3">
      <c r="A3" s="13" t="inlineStr">
        <is>
          <t>akya</t>
        </is>
      </c>
      <c r="B3" s="13" t="inlineStr">
        <is>
          <t>Akya (Sarıkuyruk)</t>
        </is>
      </c>
      <c r="C3" s="13" t="inlineStr">
        <is>
          <t>Seriola dumerili</t>
        </is>
      </c>
      <c r="D3" s="13" t="inlineStr">
        <is>
          <t>PELAJIK</t>
        </is>
      </c>
      <c r="E3" s="13" t="inlineStr">
        <is>
          <t>visual</t>
        </is>
      </c>
      <c r="F3" s="13" t="inlineStr">
        <is>
          <t>DAY</t>
        </is>
      </c>
      <c r="G3" s="13" t="n">
        <v>10</v>
      </c>
      <c r="H3" s="13" t="n">
        <v>250</v>
      </c>
      <c r="I3" s="13" t="n">
        <v>15</v>
      </c>
      <c r="J3" s="13" t="n">
        <v>23</v>
      </c>
      <c r="K3" s="13" t="n">
        <v>29</v>
      </c>
      <c r="L3" s="13" t="inlineStr">
        <is>
          <t>Trolling, Jigging, Popping</t>
        </is>
      </c>
      <c r="M3" s="13" t="inlineStr">
        <is>
          <t>Canlı İstavrit, Sardalya</t>
        </is>
      </c>
      <c r="N3" s="13" t="inlineStr">
        <is>
          <t>EGE+AKDENİZ+MARMARA</t>
        </is>
      </c>
    </row>
    <row r="4">
      <c r="A4" s="13" t="inlineStr">
        <is>
          <t>fangri</t>
        </is>
      </c>
      <c r="B4" s="13" t="inlineStr">
        <is>
          <t>Alyanak (Kırma Mercan)</t>
        </is>
      </c>
      <c r="C4" s="13" t="inlineStr">
        <is>
          <t>Pagellus erythrinus</t>
        </is>
      </c>
      <c r="D4" s="13" t="inlineStr">
        <is>
          <t>DIP_DERIN</t>
        </is>
      </c>
      <c r="E4" s="13" t="inlineStr">
        <is>
          <t>chemosensory</t>
        </is>
      </c>
      <c r="F4" s="13" t="inlineStr">
        <is>
          <t>DAY</t>
        </is>
      </c>
      <c r="G4" s="13" t="n">
        <v>20</v>
      </c>
      <c r="H4" s="13" t="n">
        <v>100</v>
      </c>
      <c r="I4" s="13" t="n">
        <v>12</v>
      </c>
      <c r="J4" s="13" t="n">
        <v>17</v>
      </c>
      <c r="K4" s="13" t="n">
        <v>23</v>
      </c>
      <c r="L4" s="13" t="inlineStr">
        <is>
          <t>Üçlü Dip Takımı</t>
        </is>
      </c>
      <c r="M4" s="13" t="inlineStr">
        <is>
          <t>Karides, Tavuk Göğsü, Kalamar</t>
        </is>
      </c>
      <c r="N4" s="13" t="inlineStr">
        <is>
          <t>EGE+AKDENİZ</t>
        </is>
      </c>
    </row>
    <row r="5">
      <c r="A5" s="13" t="inlineStr">
        <is>
          <t>antenli_mercan</t>
        </is>
      </c>
      <c r="B5" s="13" t="inlineStr">
        <is>
          <t>Antenli Mercan</t>
        </is>
      </c>
      <c r="C5" s="13" t="inlineStr">
        <is>
          <t>Pagellus bogaraveo</t>
        </is>
      </c>
      <c r="D5" s="13" t="inlineStr">
        <is>
          <t>DIP_DERIN</t>
        </is>
      </c>
      <c r="E5" s="13" t="inlineStr">
        <is>
          <t>chemosensory</t>
        </is>
      </c>
      <c r="F5" s="13" t="inlineStr">
        <is>
          <t>DAY</t>
        </is>
      </c>
      <c r="G5" s="13" t="n">
        <v>50</v>
      </c>
      <c r="H5" s="13" t="n">
        <v>700</v>
      </c>
      <c r="I5" s="13" t="n">
        <v>7</v>
      </c>
      <c r="J5" s="13" t="n">
        <v>11</v>
      </c>
      <c r="K5" s="13" t="n">
        <v>16</v>
      </c>
      <c r="L5" s="13" t="inlineStr">
        <is>
          <t>Derin Su Dip Takımı</t>
        </is>
      </c>
      <c r="M5" s="13" t="inlineStr">
        <is>
          <t>Karides, Kurt, Kalamar</t>
        </is>
      </c>
      <c r="N5" s="13" t="inlineStr">
        <is>
          <t>EGE+AKDENİZ+MARMARA</t>
        </is>
      </c>
    </row>
    <row r="6">
      <c r="A6" s="13" t="inlineStr">
        <is>
          <t>aslan_baligi</t>
        </is>
      </c>
      <c r="B6" s="13" t="inlineStr">
        <is>
          <t>Aslan Balığı</t>
        </is>
      </c>
      <c r="C6" s="13" t="inlineStr">
        <is>
          <t>Pterois miles</t>
        </is>
      </c>
      <c r="D6" s="13" t="inlineStr">
        <is>
          <t>İSTİLACI</t>
        </is>
      </c>
      <c r="E6" s="13" t="inlineStr">
        <is>
          <t>ambush</t>
        </is>
      </c>
      <c r="F6" s="13" t="inlineStr">
        <is>
          <t>CREPUSCULAR</t>
        </is>
      </c>
      <c r="G6" s="13" t="n">
        <v>2</v>
      </c>
      <c r="H6" s="13" t="n">
        <v>50</v>
      </c>
      <c r="I6" s="13" t="n">
        <v>18</v>
      </c>
      <c r="J6" s="13" t="n">
        <v>25</v>
      </c>
      <c r="K6" s="13" t="n">
        <v>30</v>
      </c>
      <c r="L6" s="13" t="inlineStr">
        <is>
          <t>LRF, Dip</t>
        </is>
      </c>
      <c r="M6" s="13" t="inlineStr">
        <is>
          <t>Karides, Küçük balık</t>
        </is>
      </c>
      <c r="N6" s="13" t="inlineStr">
        <is>
          <t>AKDENİZ+EGE</t>
        </is>
      </c>
    </row>
    <row r="7">
      <c r="A7" s="13" t="inlineStr">
        <is>
          <t>aterin</t>
        </is>
      </c>
      <c r="B7" s="13" t="inlineStr">
        <is>
          <t>Aterin-Gümüş</t>
        </is>
      </c>
      <c r="C7" s="13" t="inlineStr">
        <is>
          <t>Atherina boyeri</t>
        </is>
      </c>
      <c r="D7" s="13" t="inlineStr">
        <is>
          <t>PELAJIK</t>
        </is>
      </c>
      <c r="E7" s="13" t="inlineStr">
        <is>
          <t>visual</t>
        </is>
      </c>
      <c r="F7" s="13" t="inlineStr">
        <is>
          <t>DAY</t>
        </is>
      </c>
      <c r="G7" s="13" t="n">
        <v>1</v>
      </c>
      <c r="H7" s="13" t="n">
        <v>30</v>
      </c>
      <c r="I7" s="13" t="n">
        <v>12</v>
      </c>
      <c r="J7" s="13" t="n">
        <v>20</v>
      </c>
      <c r="K7" s="13" t="n">
        <v>27</v>
      </c>
      <c r="L7" s="13" t="inlineStr">
        <is>
          <t>Çoklu İğne</t>
        </is>
      </c>
      <c r="M7" s="13" t="inlineStr">
        <is>
          <t>Ekmek İçi, Kurt</t>
        </is>
      </c>
      <c r="N7" s="13" t="inlineStr">
        <is>
          <t>EGE+AKDENİZ+MARMARA+KARADENİZ</t>
        </is>
      </c>
    </row>
    <row r="8">
      <c r="A8" s="13" t="inlineStr">
        <is>
          <t>balon_baligi</t>
        </is>
      </c>
      <c r="B8" s="13" t="inlineStr">
        <is>
          <t>Balon Balığı</t>
        </is>
      </c>
      <c r="C8" s="13" t="inlineStr">
        <is>
          <t>Lagocephalus sceleratus</t>
        </is>
      </c>
      <c r="D8" s="13" t="inlineStr">
        <is>
          <t>İSTİLACI</t>
        </is>
      </c>
      <c r="E8" s="13" t="inlineStr">
        <is>
          <t>visual</t>
        </is>
      </c>
      <c r="F8" s="13" t="inlineStr">
        <is>
          <t>DAY</t>
        </is>
      </c>
      <c r="G8" s="13" t="n">
        <v>1</v>
      </c>
      <c r="H8" s="13" t="n">
        <v>60</v>
      </c>
      <c r="I8" s="13" t="n">
        <v>18</v>
      </c>
      <c r="J8" s="13" t="n">
        <v>26</v>
      </c>
      <c r="K8" s="13" t="n">
        <v>32</v>
      </c>
      <c r="L8" s="13" t="inlineStr">
        <is>
          <t>Dip</t>
        </is>
      </c>
      <c r="M8" s="13" t="inlineStr">
        <is>
          <t>Her yemi yer</t>
        </is>
      </c>
      <c r="N8" s="13" t="inlineStr">
        <is>
          <t>AKDENİZ+EGE</t>
        </is>
      </c>
    </row>
    <row r="9">
      <c r="A9" s="13" t="inlineStr">
        <is>
          <t>barakuda</t>
        </is>
      </c>
      <c r="B9" s="13" t="inlineStr">
        <is>
          <t>Baraküda</t>
        </is>
      </c>
      <c r="C9" s="13" t="inlineStr">
        <is>
          <t>Sphyraena viridensis</t>
        </is>
      </c>
      <c r="D9" s="13" t="inlineStr">
        <is>
          <t>AVCI</t>
        </is>
      </c>
      <c r="E9" s="13" t="inlineStr">
        <is>
          <t>visual</t>
        </is>
      </c>
      <c r="F9" s="13" t="inlineStr">
        <is>
          <t>DAWN_DUSK</t>
        </is>
      </c>
      <c r="G9" s="13" t="n">
        <v>2</v>
      </c>
      <c r="H9" s="13" t="n">
        <v>40</v>
      </c>
      <c r="I9" s="13" t="n">
        <v>18</v>
      </c>
      <c r="J9" s="13" t="n">
        <v>24</v>
      </c>
      <c r="K9" s="13" t="n">
        <v>29</v>
      </c>
      <c r="L9" s="13" t="inlineStr">
        <is>
          <t>Spin</t>
        </is>
      </c>
      <c r="M9" s="13" t="inlineStr">
        <is>
          <t>Yapay tercih</t>
        </is>
      </c>
      <c r="N9" s="13" t="inlineStr">
        <is>
          <t>EGE+AKDENİZ</t>
        </is>
      </c>
    </row>
    <row r="10">
      <c r="A10" s="13" t="inlineStr">
        <is>
          <t>barbun</t>
        </is>
      </c>
      <c r="B10" s="13" t="inlineStr">
        <is>
          <t>Barbun</t>
        </is>
      </c>
      <c r="C10" s="13" t="inlineStr">
        <is>
          <t>Mullus barbatus</t>
        </is>
      </c>
      <c r="D10" s="13" t="inlineStr">
        <is>
          <t>DIP_KIYI</t>
        </is>
      </c>
      <c r="E10" s="13" t="inlineStr">
        <is>
          <t>chemosensory</t>
        </is>
      </c>
      <c r="F10" s="13" t="inlineStr">
        <is>
          <t>DAY</t>
        </is>
      </c>
      <c r="G10" s="13" t="n">
        <v>5</v>
      </c>
      <c r="H10" s="13" t="n">
        <v>200</v>
      </c>
      <c r="I10" s="13" t="n">
        <v>8</v>
      </c>
      <c r="J10" s="13" t="n">
        <v>18</v>
      </c>
      <c r="K10" s="13" t="n">
        <v>25</v>
      </c>
      <c r="L10" s="13" t="inlineStr">
        <is>
          <t>Üçlü Dip Oltası</t>
        </is>
      </c>
      <c r="M10" s="13" t="inlineStr">
        <is>
          <t>Karides, Kurt, Midye, Tavuk Göğsü</t>
        </is>
      </c>
      <c r="N10" s="13" t="inlineStr">
        <is>
          <t>EGE+AKDENİZ+MARMARA+KARADENİZ</t>
        </is>
      </c>
    </row>
    <row r="11">
      <c r="A11" s="13" t="inlineStr">
        <is>
          <t>caca</t>
        </is>
      </c>
      <c r="B11" s="13" t="inlineStr">
        <is>
          <t>Çaça</t>
        </is>
      </c>
      <c r="C11" s="13" t="inlineStr">
        <is>
          <t>Sprattus sprattus phalericus</t>
        </is>
      </c>
      <c r="D11" s="13" t="inlineStr">
        <is>
          <t>PELAJIK</t>
        </is>
      </c>
      <c r="E11" s="13" t="inlineStr">
        <is>
          <t>visual</t>
        </is>
      </c>
      <c r="F11" s="13" t="inlineStr">
        <is>
          <t>NIGHT</t>
        </is>
      </c>
      <c r="G11" s="13" t="n">
        <v>10</v>
      </c>
      <c r="H11" s="13" t="n">
        <v>100</v>
      </c>
      <c r="I11" s="13" t="n">
        <v>6</v>
      </c>
      <c r="J11" s="13" t="n">
        <v>12</v>
      </c>
      <c r="K11" s="13" t="n">
        <v>18</v>
      </c>
      <c r="L11" s="13" t="inlineStr">
        <is>
          <t>Çapari</t>
        </is>
      </c>
      <c r="M11" s="13" t="inlineStr">
        <is>
          <t>Yok</t>
        </is>
      </c>
      <c r="N11" s="13" t="inlineStr">
        <is>
          <t>KARADENİZ</t>
        </is>
      </c>
    </row>
    <row r="12">
      <c r="A12" s="13" t="inlineStr">
        <is>
          <t>cinekop</t>
        </is>
      </c>
      <c r="B12" s="13" t="inlineStr">
        <is>
          <t>Çinekop</t>
        </is>
      </c>
      <c r="C12" s="13" t="inlineStr">
        <is>
          <t>Pomatomus saltatrix (juv.)</t>
        </is>
      </c>
      <c r="D12" s="13" t="inlineStr">
        <is>
          <t>PELAJIK</t>
        </is>
      </c>
      <c r="E12" s="13" t="inlineStr">
        <is>
          <t>visual</t>
        </is>
      </c>
      <c r="F12" s="13" t="inlineStr">
        <is>
          <t>CREPUSCULAR</t>
        </is>
      </c>
      <c r="G12" s="13" t="n">
        <v>2</v>
      </c>
      <c r="H12" s="13" t="n">
        <v>40</v>
      </c>
      <c r="I12" s="13" t="n">
        <v>14</v>
      </c>
      <c r="J12" s="13" t="n">
        <v>20</v>
      </c>
      <c r="K12" s="13" t="n">
        <v>26</v>
      </c>
      <c r="L12" s="13" t="inlineStr">
        <is>
          <t>Spin, Çapari</t>
        </is>
      </c>
      <c r="M12" s="13" t="inlineStr">
        <is>
          <t>Çaça, Hamsi</t>
        </is>
      </c>
      <c r="N12" s="13" t="inlineStr">
        <is>
          <t>MARMARA+KARADENİZ+EGE+AKDENİZ</t>
        </is>
      </c>
    </row>
    <row r="13">
      <c r="A13" s="13" t="inlineStr">
        <is>
          <t>cipura</t>
        </is>
      </c>
      <c r="B13" s="13" t="inlineStr">
        <is>
          <t>Çipura</t>
        </is>
      </c>
      <c r="C13" s="13" t="inlineStr">
        <is>
          <t>Sparus aurata</t>
        </is>
      </c>
      <c r="D13" s="13" t="inlineStr">
        <is>
          <t>KIYI</t>
        </is>
      </c>
      <c r="E13" s="13" t="inlineStr">
        <is>
          <t>visual</t>
        </is>
      </c>
      <c r="F13" s="13" t="inlineStr">
        <is>
          <t>DAY</t>
        </is>
      </c>
      <c r="G13" s="13" t="n">
        <v>0</v>
      </c>
      <c r="H13" s="13" t="n">
        <v>150</v>
      </c>
      <c r="I13" s="13" t="n">
        <v>14</v>
      </c>
      <c r="J13" s="13" t="n">
        <v>20</v>
      </c>
      <c r="K13" s="13" t="n">
        <v>28</v>
      </c>
      <c r="L13" s="13" t="inlineStr">
        <is>
          <t>Hırsızlı Dip Takımı</t>
        </is>
      </c>
      <c r="M13" s="13" t="inlineStr">
        <is>
          <t>Canlı Mamun, Yengeç, Midye</t>
        </is>
      </c>
      <c r="N13" s="13" t="inlineStr">
        <is>
          <t>EGE+AKDENİZ+MARMARA</t>
        </is>
      </c>
    </row>
    <row r="14">
      <c r="A14" s="13" t="inlineStr">
        <is>
          <t>cutre</t>
        </is>
      </c>
      <c r="B14" s="13" t="inlineStr">
        <is>
          <t>Çütre (Tetik)</t>
        </is>
      </c>
      <c r="C14" s="13" t="inlineStr">
        <is>
          <t>Balistes capriscus</t>
        </is>
      </c>
      <c r="D14" s="13" t="inlineStr">
        <is>
          <t>KAYALIK</t>
        </is>
      </c>
      <c r="E14" s="13" t="inlineStr">
        <is>
          <t>visual</t>
        </is>
      </c>
      <c r="F14" s="13" t="inlineStr">
        <is>
          <t>DAY</t>
        </is>
      </c>
      <c r="G14" s="13" t="n">
        <v>3</v>
      </c>
      <c r="H14" s="13" t="n">
        <v>40</v>
      </c>
      <c r="I14" s="13" t="n">
        <v>18</v>
      </c>
      <c r="J14" s="13" t="n">
        <v>24</v>
      </c>
      <c r="K14" s="13" t="n">
        <v>28</v>
      </c>
      <c r="L14" s="13" t="inlineStr">
        <is>
          <t>Dip</t>
        </is>
      </c>
      <c r="M14" s="13" t="inlineStr">
        <is>
          <t>Karides, Midye</t>
        </is>
      </c>
      <c r="N14" s="13" t="inlineStr">
        <is>
          <t>EGE+AKDENİZ</t>
        </is>
      </c>
    </row>
    <row r="15">
      <c r="A15" s="13" t="inlineStr">
        <is>
          <t>deniz_ignesi</t>
        </is>
      </c>
      <c r="B15" s="13" t="inlineStr">
        <is>
          <t>Deniz İğnesi</t>
        </is>
      </c>
      <c r="C15" s="13" t="inlineStr">
        <is>
          <t>Syngnathus acus</t>
        </is>
      </c>
      <c r="D15" s="13" t="inlineStr">
        <is>
          <t>KIYI</t>
        </is>
      </c>
      <c r="E15" s="13" t="inlineStr">
        <is>
          <t>visual</t>
        </is>
      </c>
      <c r="F15" s="13" t="inlineStr">
        <is>
          <t>DAY</t>
        </is>
      </c>
      <c r="G15" s="13" t="n">
        <v>0</v>
      </c>
      <c r="H15" s="13" t="n">
        <v>15</v>
      </c>
      <c r="I15" s="13" t="n">
        <v>14</v>
      </c>
      <c r="J15" s="13" t="n">
        <v>20</v>
      </c>
      <c r="K15" s="13" t="n">
        <v>26</v>
      </c>
      <c r="L15" s="13" t="inlineStr">
        <is>
          <t>Şamandıra</t>
        </is>
      </c>
      <c r="M15" s="13" t="inlineStr">
        <is>
          <t>Yok</t>
        </is>
      </c>
      <c r="N15" s="13" t="inlineStr">
        <is>
          <t>EGE+AKDENİZ+MARMARA+KARADENİZ</t>
        </is>
      </c>
    </row>
    <row r="16">
      <c r="A16" s="13" t="inlineStr">
        <is>
          <t>dil_baligi</t>
        </is>
      </c>
      <c r="B16" s="13" t="inlineStr">
        <is>
          <t>Dil Balığı</t>
        </is>
      </c>
      <c r="C16" s="13" t="inlineStr">
        <is>
          <t>Solea solea</t>
        </is>
      </c>
      <c r="D16" s="13" t="inlineStr">
        <is>
          <t>DIP_KIYI</t>
        </is>
      </c>
      <c r="E16" s="13" t="inlineStr">
        <is>
          <t>chemosensory</t>
        </is>
      </c>
      <c r="F16" s="13" t="inlineStr">
        <is>
          <t>NIGHT</t>
        </is>
      </c>
      <c r="G16" s="13" t="n">
        <v>3</v>
      </c>
      <c r="H16" s="13" t="n">
        <v>40</v>
      </c>
      <c r="I16" s="13" t="n">
        <v>7</v>
      </c>
      <c r="J16" s="13" t="n">
        <v>18</v>
      </c>
      <c r="K16" s="13" t="n">
        <v>26</v>
      </c>
      <c r="L16" s="13" t="inlineStr">
        <is>
          <t>Dip</t>
        </is>
      </c>
      <c r="M16" s="13" t="inlineStr">
        <is>
          <t>Boru Kurdu</t>
        </is>
      </c>
      <c r="N16" s="13" t="inlineStr">
        <is>
          <t>MARMARA+EGE+KARADENİZ+AKDENİZ</t>
        </is>
      </c>
    </row>
    <row r="17">
      <c r="A17" s="13" t="inlineStr">
        <is>
          <t>dulger</t>
        </is>
      </c>
      <c r="B17" s="13" t="inlineStr">
        <is>
          <t>Dülger-Peygamber Balığı</t>
        </is>
      </c>
      <c r="C17" s="13" t="inlineStr">
        <is>
          <t>Zeus faber</t>
        </is>
      </c>
      <c r="D17" s="13" t="inlineStr">
        <is>
          <t>DIP_DERIN</t>
        </is>
      </c>
      <c r="E17" s="13" t="inlineStr">
        <is>
          <t>ambush</t>
        </is>
      </c>
      <c r="F17" s="13" t="inlineStr">
        <is>
          <t>DAY</t>
        </is>
      </c>
      <c r="G17" s="13" t="n">
        <v>30</v>
      </c>
      <c r="H17" s="13" t="n">
        <v>250</v>
      </c>
      <c r="I17" s="13" t="n">
        <v>12</v>
      </c>
      <c r="J17" s="13" t="n">
        <v>18</v>
      </c>
      <c r="K17" s="13" t="n">
        <v>26</v>
      </c>
      <c r="L17" s="13" t="inlineStr">
        <is>
          <t>Dip Takımı</t>
        </is>
      </c>
      <c r="M17" s="13" t="inlineStr">
        <is>
          <t>İstavrit, Sardalya</t>
        </is>
      </c>
      <c r="N17" s="13" t="inlineStr">
        <is>
          <t>EGE+AKDENİZ+MARMARA</t>
        </is>
      </c>
    </row>
    <row r="18">
      <c r="A18" s="13" t="inlineStr">
        <is>
          <t>eskina</t>
        </is>
      </c>
      <c r="B18" s="13" t="inlineStr">
        <is>
          <t>Eşkina</t>
        </is>
      </c>
      <c r="C18" s="13" t="inlineStr">
        <is>
          <t>Sciaena umbra</t>
        </is>
      </c>
      <c r="D18" s="13" t="inlineStr">
        <is>
          <t>DIP_KIYI</t>
        </is>
      </c>
      <c r="E18" s="13" t="inlineStr">
        <is>
          <t>chemosensory</t>
        </is>
      </c>
      <c r="F18" s="13" t="inlineStr">
        <is>
          <t>NIGHT</t>
        </is>
      </c>
      <c r="G18" s="13" t="n">
        <v>0</v>
      </c>
      <c r="H18" s="13" t="n">
        <v>100</v>
      </c>
      <c r="I18" s="13" t="n">
        <v>12</v>
      </c>
      <c r="J18" s="13" t="n">
        <v>18</v>
      </c>
      <c r="K18" s="13" t="n">
        <v>27</v>
      </c>
      <c r="L18" s="13" t="inlineStr">
        <is>
          <t>Şamandıralı (Starlight), Dip Bırakma</t>
        </is>
      </c>
      <c r="M18" s="13" t="inlineStr">
        <is>
          <t>Canlı Teke (Gece), Yengeç</t>
        </is>
      </c>
      <c r="N18" s="13" t="inlineStr">
        <is>
          <t>EGE+AKDENİZ+MARMARA</t>
        </is>
      </c>
    </row>
    <row r="19">
      <c r="A19" s="13" t="inlineStr">
        <is>
          <t>ustura_baligi</t>
        </is>
      </c>
      <c r="B19" s="13" t="inlineStr">
        <is>
          <t>Fare Balığı/Ustura Balığı</t>
        </is>
      </c>
      <c r="C19" s="13" t="inlineStr">
        <is>
          <t>Xyrichtys novacula</t>
        </is>
      </c>
      <c r="D19" s="13" t="inlineStr">
        <is>
          <t>KUM_TABAN</t>
        </is>
      </c>
      <c r="E19" s="13" t="inlineStr">
        <is>
          <t>visual</t>
        </is>
      </c>
      <c r="F19" s="13" t="inlineStr">
        <is>
          <t>DAY</t>
        </is>
      </c>
      <c r="G19" s="13" t="n">
        <v>0</v>
      </c>
      <c r="H19" s="13" t="n">
        <v>90</v>
      </c>
      <c r="I19" s="13" t="n">
        <v>15</v>
      </c>
      <c r="J19" s="13" t="n">
        <v>20</v>
      </c>
      <c r="K19" s="13" t="n">
        <v>26</v>
      </c>
      <c r="L19" s="13" t="inlineStr">
        <is>
          <t>Hafif Dip Takımı (Hırsızlı), LRF</t>
        </is>
      </c>
      <c r="M19" s="13" t="inlineStr">
        <is>
          <t>Karides, Midye, Boru Kurdu, Küçük Kaya Kurdu</t>
        </is>
      </c>
      <c r="N19" s="13" t="inlineStr">
        <is>
          <t>EGE+AKDENİZ+MARMARA</t>
        </is>
      </c>
    </row>
    <row r="20">
      <c r="A20" s="13" t="inlineStr">
        <is>
          <t>fener</t>
        </is>
      </c>
      <c r="B20" s="13" t="inlineStr">
        <is>
          <t>Fener Balığı</t>
        </is>
      </c>
      <c r="C20" s="13" t="inlineStr">
        <is>
          <t>Lophius piscatorius</t>
        </is>
      </c>
      <c r="D20" s="13" t="inlineStr">
        <is>
          <t>DIP_DERIN</t>
        </is>
      </c>
      <c r="E20" s="13" t="inlineStr">
        <is>
          <t>ambush</t>
        </is>
      </c>
      <c r="F20" s="13" t="inlineStr">
        <is>
          <t>DAY</t>
        </is>
      </c>
      <c r="G20" s="13" t="n">
        <v>20</v>
      </c>
      <c r="H20" s="13" t="n">
        <v>250</v>
      </c>
      <c r="I20" s="13" t="n">
        <v>8</v>
      </c>
      <c r="J20" s="13" t="n">
        <v>12</v>
      </c>
      <c r="K20" s="13" t="n">
        <v>18</v>
      </c>
      <c r="L20" s="13" t="inlineStr">
        <is>
          <t>Ağır Dip</t>
        </is>
      </c>
      <c r="M20" s="13" t="inlineStr">
        <is>
          <t>Balık Eti</t>
        </is>
      </c>
      <c r="N20" s="13" t="inlineStr">
        <is>
          <t>MARMARA+EGE+AKDENİZ</t>
        </is>
      </c>
    </row>
    <row r="21">
      <c r="A21" s="13" t="inlineStr">
        <is>
          <t>gelincik</t>
        </is>
      </c>
      <c r="B21" s="13" t="inlineStr">
        <is>
          <t>Gelincik</t>
        </is>
      </c>
      <c r="C21" s="13" t="inlineStr">
        <is>
          <t>Gaidropsarus mediterraneus</t>
        </is>
      </c>
      <c r="D21" s="13" t="inlineStr">
        <is>
          <t>KAYALIK</t>
        </is>
      </c>
      <c r="E21" s="13" t="inlineStr">
        <is>
          <t>chemosensory</t>
        </is>
      </c>
      <c r="F21" s="13" t="inlineStr">
        <is>
          <t>NIGHT</t>
        </is>
      </c>
      <c r="G21" s="13" t="n">
        <v>3</v>
      </c>
      <c r="H21" s="13" t="n">
        <v>40</v>
      </c>
      <c r="I21" s="13" t="n">
        <v>10</v>
      </c>
      <c r="J21" s="13" t="n">
        <v>16</v>
      </c>
      <c r="K21" s="13" t="n">
        <v>24</v>
      </c>
      <c r="L21" s="13" t="inlineStr">
        <is>
          <t>Dip</t>
        </is>
      </c>
      <c r="M21" s="13" t="inlineStr">
        <is>
          <t>Karides, Balık eti</t>
        </is>
      </c>
      <c r="N21" s="13" t="inlineStr">
        <is>
          <t>MARMARA+EGE+KARADENİZ+AKDENİZ</t>
        </is>
      </c>
    </row>
    <row r="22">
      <c r="A22" s="13" t="inlineStr">
        <is>
          <t>granyoz</t>
        </is>
      </c>
      <c r="B22" s="13" t="inlineStr">
        <is>
          <t>Granyoz (Sarıağız)</t>
        </is>
      </c>
      <c r="C22" s="13" t="inlineStr">
        <is>
          <t>Argyrosomus regius</t>
        </is>
      </c>
      <c r="D22" s="13" t="inlineStr">
        <is>
          <t>AVCI</t>
        </is>
      </c>
      <c r="E22" s="13" t="inlineStr">
        <is>
          <t>chemosensory</t>
        </is>
      </c>
      <c r="F22" s="13" t="inlineStr">
        <is>
          <t>NIGHT</t>
        </is>
      </c>
      <c r="G22" s="13" t="n">
        <v>5</v>
      </c>
      <c r="H22" s="13" t="n">
        <v>60</v>
      </c>
      <c r="I22" s="13" t="n">
        <v>16</v>
      </c>
      <c r="J22" s="13" t="n">
        <v>21</v>
      </c>
      <c r="K22" s="13" t="n">
        <v>26</v>
      </c>
      <c r="L22" s="13" t="inlineStr">
        <is>
          <t>Dip, Spin</t>
        </is>
      </c>
      <c r="M22" s="13" t="inlineStr">
        <is>
          <t>Canlı Teke, Sübye</t>
        </is>
      </c>
      <c r="N22" s="13" t="inlineStr">
        <is>
          <t>EGE+AKDENİZ</t>
        </is>
      </c>
    </row>
    <row r="23">
      <c r="A23" s="13" t="inlineStr">
        <is>
          <t>lahoz</t>
        </is>
      </c>
      <c r="B23" s="13" t="inlineStr">
        <is>
          <t>Grida (Lagos/Lahoz)</t>
        </is>
      </c>
      <c r="C23" s="13" t="inlineStr">
        <is>
          <t>Epinephelus aeneus</t>
        </is>
      </c>
      <c r="D23" s="13" t="inlineStr">
        <is>
          <t>DIP_KIYI</t>
        </is>
      </c>
      <c r="E23" s="13" t="inlineStr">
        <is>
          <t>chemosensory</t>
        </is>
      </c>
      <c r="F23" s="13" t="inlineStr">
        <is>
          <t>DAWN_DUSK</t>
        </is>
      </c>
      <c r="G23" s="13" t="n">
        <v>10</v>
      </c>
      <c r="H23" s="13" t="n">
        <v>200</v>
      </c>
      <c r="I23" s="13" t="n">
        <v>14</v>
      </c>
      <c r="J23" s="13" t="n">
        <v>20</v>
      </c>
      <c r="K23" s="13" t="n">
        <v>26</v>
      </c>
      <c r="L23" s="13" t="inlineStr">
        <is>
          <t>Dip</t>
        </is>
      </c>
      <c r="M23" s="13" t="inlineStr">
        <is>
          <t>Canlı balık, Ahtapot</t>
        </is>
      </c>
      <c r="N23" s="13" t="inlineStr">
        <is>
          <t>EGE+AKDENİZ</t>
        </is>
      </c>
    </row>
    <row r="24">
      <c r="A24" s="13" t="inlineStr">
        <is>
          <t>hamsi</t>
        </is>
      </c>
      <c r="B24" s="13" t="inlineStr">
        <is>
          <t>Hamsi</t>
        </is>
      </c>
      <c r="C24" s="13" t="inlineStr">
        <is>
          <t>Engraulis encrasicolus</t>
        </is>
      </c>
      <c r="D24" s="13" t="inlineStr">
        <is>
          <t>SÜRÜ</t>
        </is>
      </c>
      <c r="E24" s="13" t="inlineStr">
        <is>
          <t>visual</t>
        </is>
      </c>
      <c r="F24" s="13" t="inlineStr">
        <is>
          <t>NIGHT</t>
        </is>
      </c>
      <c r="G24" s="13" t="n">
        <v>5</v>
      </c>
      <c r="H24" s="13" t="n">
        <v>60</v>
      </c>
      <c r="I24" s="13" t="n">
        <v>8</v>
      </c>
      <c r="J24" s="13" t="n">
        <v>12</v>
      </c>
      <c r="K24" s="13" t="n">
        <v>18</v>
      </c>
      <c r="L24" s="13" t="inlineStr">
        <is>
          <t>Surf, Çapari</t>
        </is>
      </c>
      <c r="M24" s="13" t="inlineStr">
        <is>
          <t>Çapari</t>
        </is>
      </c>
      <c r="N24" s="13" t="inlineStr">
        <is>
          <t>KARADENİZ+MARMARA+EGE</t>
        </is>
      </c>
    </row>
    <row r="25">
      <c r="A25" s="13" t="inlineStr">
        <is>
          <t>hani</t>
        </is>
      </c>
      <c r="B25" s="13" t="inlineStr">
        <is>
          <t>Hani/Hanos</t>
        </is>
      </c>
      <c r="C25" s="13" t="inlineStr">
        <is>
          <t>Serranus cabrilla</t>
        </is>
      </c>
      <c r="D25" s="13" t="inlineStr">
        <is>
          <t>DIP_KIYI</t>
        </is>
      </c>
      <c r="E25" s="13" t="inlineStr">
        <is>
          <t>ambush</t>
        </is>
      </c>
      <c r="F25" s="13" t="inlineStr">
        <is>
          <t>DAY</t>
        </is>
      </c>
      <c r="G25" s="13" t="n">
        <v>2</v>
      </c>
      <c r="H25" s="13" t="n">
        <v>90</v>
      </c>
      <c r="I25" s="13" t="n">
        <v>12</v>
      </c>
      <c r="J25" s="13" t="n">
        <v>18</v>
      </c>
      <c r="K25" s="13" t="n">
        <v>27</v>
      </c>
      <c r="L25" s="13" t="inlineStr">
        <is>
          <t>LRF, Dip Takımı</t>
        </is>
      </c>
      <c r="M25" s="13" t="inlineStr">
        <is>
          <t>Karides, Kurt, Midye</t>
        </is>
      </c>
      <c r="N25" s="13" t="inlineStr">
        <is>
          <t>EGE+AKDENİZ+MARMARA</t>
        </is>
      </c>
    </row>
    <row r="26">
      <c r="A26" s="13" t="inlineStr">
        <is>
          <t>zurna</t>
        </is>
      </c>
      <c r="B26" s="13" t="inlineStr">
        <is>
          <t>İskarmoz</t>
        </is>
      </c>
      <c r="C26" s="13" t="inlineStr">
        <is>
          <t>Sphyraena sphyraena</t>
        </is>
      </c>
      <c r="D26" s="13" t="inlineStr">
        <is>
          <t>AVCI</t>
        </is>
      </c>
      <c r="E26" s="13" t="inlineStr">
        <is>
          <t>visual</t>
        </is>
      </c>
      <c r="F26" s="13" t="inlineStr">
        <is>
          <t>DAY</t>
        </is>
      </c>
      <c r="G26" s="13" t="n">
        <v>0</v>
      </c>
      <c r="H26" s="13" t="n">
        <v>20</v>
      </c>
      <c r="I26" s="13" t="n">
        <v>18</v>
      </c>
      <c r="J26" s="13" t="n">
        <v>24</v>
      </c>
      <c r="K26" s="13" t="n">
        <v>28</v>
      </c>
      <c r="L26" s="13" t="inlineStr">
        <is>
          <t>Spin, LRF</t>
        </is>
      </c>
      <c r="M26" s="13" t="inlineStr">
        <is>
          <t>İpek</t>
        </is>
      </c>
      <c r="N26" s="13" t="inlineStr">
        <is>
          <t>EGE+AKDENİZ</t>
        </is>
      </c>
    </row>
    <row r="27">
      <c r="A27" s="13" t="inlineStr">
        <is>
          <t>iskatarya</t>
        </is>
      </c>
      <c r="B27" s="13" t="inlineStr">
        <is>
          <t>İskatarya (Sarıgöz)</t>
        </is>
      </c>
      <c r="C27" s="13" t="inlineStr">
        <is>
          <t>Spondyliosoma cantharus</t>
        </is>
      </c>
      <c r="D27" s="13" t="inlineStr">
        <is>
          <t>DIP_KIYI</t>
        </is>
      </c>
      <c r="E27" s="13" t="inlineStr">
        <is>
          <t>visual</t>
        </is>
      </c>
      <c r="F27" s="13" t="inlineStr">
        <is>
          <t>DAY</t>
        </is>
      </c>
      <c r="G27" s="13" t="n">
        <v>0</v>
      </c>
      <c r="H27" s="13" t="n">
        <v>120</v>
      </c>
      <c r="I27" s="13" t="n">
        <v>9</v>
      </c>
      <c r="J27" s="13" t="n">
        <v>19</v>
      </c>
      <c r="K27" s="13" t="n">
        <v>27</v>
      </c>
      <c r="L27" s="13" t="inlineStr">
        <is>
          <t>Hafif Dip Takımı</t>
        </is>
      </c>
      <c r="M27" s="13" t="inlineStr">
        <is>
          <t>Deniz Kurdu, Karides, Midye</t>
        </is>
      </c>
      <c r="N27" s="13" t="inlineStr">
        <is>
          <t>EGE+AKDENİZ+MARMARA</t>
        </is>
      </c>
    </row>
    <row r="28">
      <c r="A28" s="13" t="inlineStr">
        <is>
          <t>iskorpit</t>
        </is>
      </c>
      <c r="B28" s="13" t="inlineStr">
        <is>
          <t>İskorpit</t>
        </is>
      </c>
      <c r="C28" s="13" t="inlineStr">
        <is>
          <t>Scorpaena porcus</t>
        </is>
      </c>
      <c r="D28" s="13" t="inlineStr">
        <is>
          <t>DIP_KIYI</t>
        </is>
      </c>
      <c r="E28" s="13" t="inlineStr">
        <is>
          <t>ambush</t>
        </is>
      </c>
      <c r="F28" s="13" t="inlineStr">
        <is>
          <t>NIGHT</t>
        </is>
      </c>
      <c r="G28" s="13" t="n">
        <v>0</v>
      </c>
      <c r="H28" s="13" t="n">
        <v>60</v>
      </c>
      <c r="I28" s="13" t="n">
        <v>10</v>
      </c>
      <c r="J28" s="13" t="n">
        <v>18</v>
      </c>
      <c r="K28" s="13" t="n">
        <v>24</v>
      </c>
      <c r="L28" s="13" t="inlineStr">
        <is>
          <t>Dip Takımı, LRF</t>
        </is>
      </c>
      <c r="M28" s="13" t="inlineStr">
        <is>
          <t>İstavrit Fleto, Karides</t>
        </is>
      </c>
      <c r="N28" s="13" t="inlineStr">
        <is>
          <t>EGE+AKDENİZ+MARMARA+KARADENİZ</t>
        </is>
      </c>
    </row>
    <row r="29">
      <c r="A29" s="13" t="inlineStr">
        <is>
          <t>isparoz</t>
        </is>
      </c>
      <c r="B29" s="13" t="inlineStr">
        <is>
          <t>İsparoz</t>
        </is>
      </c>
      <c r="C29" s="13" t="inlineStr">
        <is>
          <t>Diplodus annularis</t>
        </is>
      </c>
      <c r="D29" s="13" t="inlineStr">
        <is>
          <t>DIP_KIYI</t>
        </is>
      </c>
      <c r="E29" s="13" t="inlineStr">
        <is>
          <t>visual</t>
        </is>
      </c>
      <c r="F29" s="13" t="inlineStr">
        <is>
          <t>DAY</t>
        </is>
      </c>
      <c r="G29" s="13" t="n">
        <v>0</v>
      </c>
      <c r="H29" s="13" t="n">
        <v>50</v>
      </c>
      <c r="I29" s="13" t="n">
        <v>12</v>
      </c>
      <c r="J29" s="13" t="n">
        <v>18</v>
      </c>
      <c r="K29" s="13" t="n">
        <v>26</v>
      </c>
      <c r="L29" s="13" t="inlineStr">
        <is>
          <t>Çapari, Dip</t>
        </is>
      </c>
      <c r="M29" s="13" t="inlineStr">
        <is>
          <t>Ekmek, Kurt, Karides</t>
        </is>
      </c>
      <c r="N29" s="13" t="inlineStr">
        <is>
          <t>EGE+AKDENİZ+MARMARA</t>
        </is>
      </c>
    </row>
    <row r="30">
      <c r="A30" s="13" t="inlineStr">
        <is>
          <t>istavrit</t>
        </is>
      </c>
      <c r="B30" s="13" t="inlineStr">
        <is>
          <t>İstavrit</t>
        </is>
      </c>
      <c r="C30" s="13" t="inlineStr">
        <is>
          <t>Trachurus mediterraneus</t>
        </is>
      </c>
      <c r="D30" s="13" t="inlineStr">
        <is>
          <t>PELAJIK</t>
        </is>
      </c>
      <c r="E30" s="13" t="inlineStr">
        <is>
          <t>visual</t>
        </is>
      </c>
      <c r="F30" s="13" t="inlineStr">
        <is>
          <t>ALL</t>
        </is>
      </c>
      <c r="G30" s="13" t="n">
        <v>5</v>
      </c>
      <c r="H30" s="13" t="n">
        <v>250</v>
      </c>
      <c r="I30" s="13" t="n">
        <v>10</v>
      </c>
      <c r="J30" s="13" t="n">
        <v>20</v>
      </c>
      <c r="K30" s="13" t="n">
        <v>27</v>
      </c>
      <c r="L30" s="13" t="inlineStr">
        <is>
          <t>Çapari, LRF</t>
        </is>
      </c>
      <c r="M30" s="13" t="inlineStr">
        <is>
          <t>Karides Parçası, Tavuk Göğsü</t>
        </is>
      </c>
      <c r="N30" s="13" t="inlineStr">
        <is>
          <t>MARMARA+EGE+KARADENİZ+AKDENİZ</t>
        </is>
      </c>
    </row>
    <row r="31">
      <c r="A31" s="13" t="inlineStr">
        <is>
          <t>izmarit</t>
        </is>
      </c>
      <c r="B31" s="13" t="inlineStr">
        <is>
          <t>İzmarit</t>
        </is>
      </c>
      <c r="C31" s="13" t="inlineStr">
        <is>
          <t>Spicara smaris</t>
        </is>
      </c>
      <c r="D31" s="13" t="inlineStr">
        <is>
          <t>SÜRÜ</t>
        </is>
      </c>
      <c r="E31" s="13" t="inlineStr">
        <is>
          <t>visual</t>
        </is>
      </c>
      <c r="F31" s="13" t="inlineStr">
        <is>
          <t>DAY</t>
        </is>
      </c>
      <c r="G31" s="13" t="n">
        <v>5</v>
      </c>
      <c r="H31" s="13" t="n">
        <v>100</v>
      </c>
      <c r="I31" s="13" t="n">
        <v>13</v>
      </c>
      <c r="J31" s="13" t="n">
        <v>19</v>
      </c>
      <c r="K31" s="13" t="n">
        <v>28</v>
      </c>
      <c r="L31" s="13" t="inlineStr">
        <is>
          <t>Çoklu İğneli Takım, Şamandıralı</t>
        </is>
      </c>
      <c r="M31" s="13" t="inlineStr">
        <is>
          <t>Ekmek İçi, Küçük Solucan, Midye</t>
        </is>
      </c>
      <c r="N31" s="13" t="inlineStr">
        <is>
          <t>EGE+AKDENİZ+MARMARA+KARADENİZ</t>
        </is>
      </c>
    </row>
    <row r="32">
      <c r="A32" s="13" t="inlineStr">
        <is>
          <t>kalamar</t>
        </is>
      </c>
      <c r="B32" s="13" t="inlineStr">
        <is>
          <t>Kalamar</t>
        </is>
      </c>
      <c r="C32" s="13" t="inlineStr">
        <is>
          <t>Loligo vulgaris</t>
        </is>
      </c>
      <c r="D32" s="13" t="inlineStr">
        <is>
          <t>KAFADANBACAKLI</t>
        </is>
      </c>
      <c r="E32" s="13" t="inlineStr">
        <is>
          <t>visual</t>
        </is>
      </c>
      <c r="F32" s="13" t="inlineStr">
        <is>
          <t>NIGHT</t>
        </is>
      </c>
      <c r="G32" s="13" t="n">
        <v>2</v>
      </c>
      <c r="H32" s="13" t="n">
        <v>150</v>
      </c>
      <c r="I32" s="13" t="n">
        <v>11</v>
      </c>
      <c r="J32" s="13" t="n">
        <v>19</v>
      </c>
      <c r="K32" s="13" t="n">
        <v>24</v>
      </c>
      <c r="L32" s="13" t="inlineStr">
        <is>
          <t>Zoka At-Çek (Whipping)</t>
        </is>
      </c>
      <c r="M32" s="13" t="inlineStr">
        <is>
          <t>Yok</t>
        </is>
      </c>
      <c r="N32" s="13" t="inlineStr">
        <is>
          <t>EGE+AKDENİZ+MARMARA</t>
        </is>
      </c>
    </row>
    <row r="33">
      <c r="A33" s="13" t="inlineStr">
        <is>
          <t>kalkan</t>
        </is>
      </c>
      <c r="B33" s="13" t="inlineStr">
        <is>
          <t>Kalkan</t>
        </is>
      </c>
      <c r="C33" s="13" t="inlineStr">
        <is>
          <t>Scophthalmus maximus</t>
        </is>
      </c>
      <c r="D33" s="13" t="inlineStr">
        <is>
          <t>DIP_DERIN</t>
        </is>
      </c>
      <c r="E33" s="13" t="inlineStr">
        <is>
          <t>chemosensory</t>
        </is>
      </c>
      <c r="F33" s="13" t="inlineStr">
        <is>
          <t>DAY</t>
        </is>
      </c>
      <c r="G33" s="13" t="n">
        <v>20</v>
      </c>
      <c r="H33" s="13" t="n">
        <v>70</v>
      </c>
      <c r="I33" s="13" t="n">
        <v>6</v>
      </c>
      <c r="J33" s="13" t="n">
        <v>12</v>
      </c>
      <c r="K33" s="13" t="n">
        <v>18</v>
      </c>
      <c r="L33" s="13" t="inlineStr">
        <is>
          <t>Uzun Köstekli Ağır Dip Oltası</t>
        </is>
      </c>
      <c r="M33" s="13" t="inlineStr">
        <is>
          <t>Canlı Hamsi, İstavrit, Balık Fleto</t>
        </is>
      </c>
      <c r="N33" s="13" t="inlineStr">
        <is>
          <t>KARADENİZ+MARMARA</t>
        </is>
      </c>
    </row>
    <row r="34">
      <c r="A34" s="13" t="inlineStr">
        <is>
          <t>karagoz</t>
        </is>
      </c>
      <c r="B34" s="13" t="inlineStr">
        <is>
          <t>Karagöz</t>
        </is>
      </c>
      <c r="C34" s="13" t="inlineStr">
        <is>
          <t>Diplodus vulgaris</t>
        </is>
      </c>
      <c r="D34" s="13" t="inlineStr">
        <is>
          <t>KIYI</t>
        </is>
      </c>
      <c r="E34" s="13" t="inlineStr">
        <is>
          <t>visual</t>
        </is>
      </c>
      <c r="F34" s="13" t="inlineStr">
        <is>
          <t>DAWN_DUSK</t>
        </is>
      </c>
      <c r="G34" s="13" t="n">
        <v>0</v>
      </c>
      <c r="H34" s="13" t="n">
        <v>160</v>
      </c>
      <c r="I34" s="13" t="n">
        <v>10</v>
      </c>
      <c r="J34" s="13" t="n">
        <v>20</v>
      </c>
      <c r="K34" s="13" t="n">
        <v>25</v>
      </c>
      <c r="L34" s="13" t="inlineStr">
        <is>
          <t>Şeytan Oltası, Tek İğneli Dip</t>
        </is>
      </c>
      <c r="M34" s="13" t="inlineStr">
        <is>
          <t>Mamun, Yengeç, Madya</t>
        </is>
      </c>
      <c r="N34" s="13" t="inlineStr">
        <is>
          <t>EGE+AKDENİZ+MARMARA+KARADENİZ</t>
        </is>
      </c>
    </row>
    <row r="35">
      <c r="A35" s="13" t="inlineStr">
        <is>
          <t>kefal</t>
        </is>
      </c>
      <c r="B35" s="13" t="inlineStr">
        <is>
          <t>Kefal</t>
        </is>
      </c>
      <c r="C35" s="13" t="inlineStr">
        <is>
          <t>Mugil cephalus</t>
        </is>
      </c>
      <c r="D35" s="13" t="inlineStr">
        <is>
          <t>LAGUN</t>
        </is>
      </c>
      <c r="E35" s="13" t="inlineStr">
        <is>
          <t>filter</t>
        </is>
      </c>
      <c r="F35" s="13" t="inlineStr">
        <is>
          <t>DAY</t>
        </is>
      </c>
      <c r="G35" s="13" t="n">
        <v>0</v>
      </c>
      <c r="H35" s="13" t="n">
        <v>15</v>
      </c>
      <c r="I35" s="13" t="n">
        <v>10</v>
      </c>
      <c r="J35" s="13" t="n">
        <v>18</v>
      </c>
      <c r="K35" s="13" t="n">
        <v>28</v>
      </c>
      <c r="L35" s="13" t="inlineStr">
        <is>
          <t>Kıbrıs Takımı, Şamandıralı</t>
        </is>
      </c>
      <c r="M35" s="13" t="inlineStr">
        <is>
          <t>Ekmek İçi, Kıbrıs Sarma</t>
        </is>
      </c>
      <c r="N35" s="13" t="inlineStr">
        <is>
          <t>MARMARA+EGE+AKDENİZ+KARADENİZ</t>
        </is>
      </c>
    </row>
    <row r="36">
      <c r="A36" s="13" t="inlineStr">
        <is>
          <t>kirlangic</t>
        </is>
      </c>
      <c r="B36" s="13" t="inlineStr">
        <is>
          <t>Kırlangıç</t>
        </is>
      </c>
      <c r="C36" s="13" t="inlineStr">
        <is>
          <t>Chelidonichthys lucerna</t>
        </is>
      </c>
      <c r="D36" s="13" t="inlineStr">
        <is>
          <t>DIP_KIYI</t>
        </is>
      </c>
      <c r="E36" s="13" t="inlineStr">
        <is>
          <t>chemosensory</t>
        </is>
      </c>
      <c r="F36" s="13" t="inlineStr">
        <is>
          <t>DAY</t>
        </is>
      </c>
      <c r="G36" s="13" t="n">
        <v>15</v>
      </c>
      <c r="H36" s="13" t="n">
        <v>80</v>
      </c>
      <c r="I36" s="13" t="n">
        <v>8</v>
      </c>
      <c r="J36" s="13" t="n">
        <v>17</v>
      </c>
      <c r="K36" s="13" t="n">
        <v>26</v>
      </c>
      <c r="L36" s="13" t="inlineStr">
        <is>
          <t>Dip, Jig</t>
        </is>
      </c>
      <c r="M36" s="13" t="inlineStr">
        <is>
          <t>Teke, İstavrit</t>
        </is>
      </c>
      <c r="N36" s="13" t="inlineStr">
        <is>
          <t>MARMARA+EGE+KARADENİZ+AKDENİZ</t>
        </is>
      </c>
    </row>
    <row r="37">
      <c r="A37" s="13" t="inlineStr">
        <is>
          <t>kizil_kirlangic</t>
        </is>
      </c>
      <c r="B37" s="13" t="inlineStr">
        <is>
          <t>Kızıl Kırlangıç</t>
        </is>
      </c>
      <c r="C37" s="13" t="inlineStr">
        <is>
          <t>Chelidonichthys cuculus</t>
        </is>
      </c>
      <c r="D37" s="13" t="inlineStr">
        <is>
          <t>DIP_DERIN</t>
        </is>
      </c>
      <c r="E37" s="13" t="inlineStr">
        <is>
          <t>chemosensory</t>
        </is>
      </c>
      <c r="F37" s="13" t="inlineStr">
        <is>
          <t>DAY</t>
        </is>
      </c>
      <c r="G37" s="13" t="n">
        <v>20</v>
      </c>
      <c r="H37" s="13" t="n">
        <v>200</v>
      </c>
      <c r="I37" s="13" t="n">
        <v>12</v>
      </c>
      <c r="J37" s="13" t="n">
        <v>18</v>
      </c>
      <c r="K37" s="13" t="n">
        <v>24</v>
      </c>
      <c r="L37" s="13" t="inlineStr">
        <is>
          <t>Dip Takımı</t>
        </is>
      </c>
      <c r="M37" s="13" t="inlineStr">
        <is>
          <t>Karides</t>
        </is>
      </c>
      <c r="N37" s="13" t="inlineStr">
        <is>
          <t>EGE+AKDENİZ+MARMARA</t>
        </is>
      </c>
    </row>
    <row r="38">
      <c r="A38" s="13" t="inlineStr">
        <is>
          <t>kikla</t>
        </is>
      </c>
      <c r="B38" s="13" t="inlineStr">
        <is>
          <t>Kikla-Ot Balığı</t>
        </is>
      </c>
      <c r="C38" s="13" t="inlineStr">
        <is>
          <t>Labrus viridis</t>
        </is>
      </c>
      <c r="D38" s="13" t="inlineStr">
        <is>
          <t>KAYALIK</t>
        </is>
      </c>
      <c r="E38" s="13" t="inlineStr">
        <is>
          <t>visual</t>
        </is>
      </c>
      <c r="F38" s="13" t="inlineStr">
        <is>
          <t>DAY</t>
        </is>
      </c>
      <c r="G38" s="13" t="n">
        <v>0</v>
      </c>
      <c r="H38" s="13" t="n">
        <v>50</v>
      </c>
      <c r="I38" s="13" t="n">
        <v>12</v>
      </c>
      <c r="J38" s="13" t="n">
        <v>17</v>
      </c>
      <c r="K38" s="13" t="n">
        <v>26</v>
      </c>
      <c r="L38" s="13" t="inlineStr">
        <is>
          <t>Dip Takımı, LRF</t>
        </is>
      </c>
      <c r="M38" s="13" t="inlineStr">
        <is>
          <t>Karides, Yengeç, Midye</t>
        </is>
      </c>
      <c r="N38" s="13" t="inlineStr">
        <is>
          <t>EGE+AKDENİZ+MARMARA</t>
        </is>
      </c>
    </row>
    <row r="39">
      <c r="A39" s="13" t="inlineStr">
        <is>
          <t>kolyoz</t>
        </is>
      </c>
      <c r="B39" s="13" t="inlineStr">
        <is>
          <t>Kolyoz</t>
        </is>
      </c>
      <c r="C39" s="13" t="inlineStr">
        <is>
          <t>Scomber colias</t>
        </is>
      </c>
      <c r="D39" s="13" t="inlineStr">
        <is>
          <t>SÜRÜ</t>
        </is>
      </c>
      <c r="E39" s="13" t="inlineStr">
        <is>
          <t>visual</t>
        </is>
      </c>
      <c r="F39" s="13" t="inlineStr">
        <is>
          <t>DAY</t>
        </is>
      </c>
      <c r="G39" s="13" t="n">
        <v>5</v>
      </c>
      <c r="H39" s="13" t="n">
        <v>50</v>
      </c>
      <c r="I39" s="13" t="n">
        <v>15</v>
      </c>
      <c r="J39" s="13" t="n">
        <v>22</v>
      </c>
      <c r="K39" s="13" t="n">
        <v>27</v>
      </c>
      <c r="L39" s="13" t="inlineStr">
        <is>
          <t>Çapari Takımı, Spin</t>
        </is>
      </c>
      <c r="M39" s="13" t="inlineStr">
        <is>
          <t>Çapari</t>
        </is>
      </c>
      <c r="N39" s="13" t="inlineStr">
        <is>
          <t>MARMARA+EGE+KARADENİZ+AKDENİZ</t>
        </is>
      </c>
    </row>
    <row r="40">
      <c r="A40" s="13" t="inlineStr">
        <is>
          <t>kupes</t>
        </is>
      </c>
      <c r="B40" s="13" t="inlineStr">
        <is>
          <t>Kupes/Mandagöz</t>
        </is>
      </c>
      <c r="C40" s="13" t="inlineStr">
        <is>
          <t>Boops boops</t>
        </is>
      </c>
      <c r="D40" s="13" t="inlineStr">
        <is>
          <t>SÜRÜ</t>
        </is>
      </c>
      <c r="E40" s="13" t="inlineStr">
        <is>
          <t>visual</t>
        </is>
      </c>
      <c r="F40" s="13" t="inlineStr">
        <is>
          <t>DAY</t>
        </is>
      </c>
      <c r="G40" s="13" t="n">
        <v>1</v>
      </c>
      <c r="H40" s="13" t="n">
        <v>100</v>
      </c>
      <c r="I40" s="13" t="n">
        <v>12</v>
      </c>
      <c r="J40" s="13" t="n">
        <v>18</v>
      </c>
      <c r="K40" s="13" t="n">
        <v>27</v>
      </c>
      <c r="L40" s="13" t="inlineStr">
        <is>
          <t>Çapari, Şamandıralı</t>
        </is>
      </c>
      <c r="M40" s="13" t="inlineStr">
        <is>
          <t>Ekmek, Hamur, Kurt</t>
        </is>
      </c>
      <c r="N40" s="13" t="inlineStr">
        <is>
          <t>MARMARA+EGE+AKDENİZ+KARADENİZ</t>
        </is>
      </c>
    </row>
    <row r="41">
      <c r="A41" s="13" t="inlineStr">
        <is>
          <t>kurbaga</t>
        </is>
      </c>
      <c r="B41" s="13" t="inlineStr">
        <is>
          <t>Kurbağa Balığı</t>
        </is>
      </c>
      <c r="C41" s="13" t="inlineStr">
        <is>
          <t>Uranoscopus scaber</t>
        </is>
      </c>
      <c r="D41" s="13" t="inlineStr">
        <is>
          <t>DIP_KIYI</t>
        </is>
      </c>
      <c r="E41" s="13" t="inlineStr">
        <is>
          <t>ambush</t>
        </is>
      </c>
      <c r="F41" s="13" t="inlineStr">
        <is>
          <t>DAWN_DUSK</t>
        </is>
      </c>
      <c r="G41" s="13" t="n">
        <v>3</v>
      </c>
      <c r="H41" s="13" t="n">
        <v>50</v>
      </c>
      <c r="I41" s="13" t="n">
        <v>12</v>
      </c>
      <c r="J41" s="13" t="n">
        <v>18</v>
      </c>
      <c r="K41" s="13" t="n">
        <v>26</v>
      </c>
      <c r="L41" s="13" t="inlineStr">
        <is>
          <t>Dip</t>
        </is>
      </c>
      <c r="M41" s="13" t="inlineStr">
        <is>
          <t>Balık Eti</t>
        </is>
      </c>
      <c r="N41" s="13" t="inlineStr">
        <is>
          <t>EGE+AKDENİZ</t>
        </is>
      </c>
    </row>
    <row r="42">
      <c r="A42" s="13" t="inlineStr">
        <is>
          <t>lambuga</t>
        </is>
      </c>
      <c r="B42" s="13" t="inlineStr">
        <is>
          <t>Lambuga (Mahi Mahi)</t>
        </is>
      </c>
      <c r="C42" s="13" t="inlineStr">
        <is>
          <t>Coryphaena hippurus</t>
        </is>
      </c>
      <c r="D42" s="13" t="inlineStr">
        <is>
          <t>AVCI</t>
        </is>
      </c>
      <c r="E42" s="13" t="inlineStr">
        <is>
          <t>visual</t>
        </is>
      </c>
      <c r="F42" s="13" t="inlineStr">
        <is>
          <t>DAY</t>
        </is>
      </c>
      <c r="G42" s="13" t="n">
        <v>0</v>
      </c>
      <c r="H42" s="13" t="n">
        <v>35</v>
      </c>
      <c r="I42" s="13" t="n">
        <v>21</v>
      </c>
      <c r="J42" s="13" t="n">
        <v>26</v>
      </c>
      <c r="K42" s="13" t="n">
        <v>30</v>
      </c>
      <c r="L42" s="13" t="inlineStr">
        <is>
          <t>Trolling, Spin</t>
        </is>
      </c>
      <c r="M42" s="13" t="inlineStr">
        <is>
          <t>Küçük balık</t>
        </is>
      </c>
      <c r="N42" s="13" t="inlineStr">
        <is>
          <t>AKDENİZ+EGE</t>
        </is>
      </c>
    </row>
    <row r="43">
      <c r="A43" s="13" t="inlineStr">
        <is>
          <t>lapin</t>
        </is>
      </c>
      <c r="B43" s="13" t="inlineStr">
        <is>
          <t>Lapin</t>
        </is>
      </c>
      <c r="C43" s="13" t="inlineStr">
        <is>
          <t>Labrus spp.</t>
        </is>
      </c>
      <c r="D43" s="13" t="inlineStr">
        <is>
          <t>KAYALIK</t>
        </is>
      </c>
      <c r="E43" s="13" t="inlineStr">
        <is>
          <t>visual</t>
        </is>
      </c>
      <c r="F43" s="13" t="inlineStr">
        <is>
          <t>DAY</t>
        </is>
      </c>
      <c r="G43" s="13" t="n">
        <v>0</v>
      </c>
      <c r="H43" s="13" t="n">
        <v>40</v>
      </c>
      <c r="I43" s="13" t="n">
        <v>14</v>
      </c>
      <c r="J43" s="13" t="n">
        <v>20</v>
      </c>
      <c r="K43" s="13" t="n">
        <v>26</v>
      </c>
      <c r="L43" s="13" t="inlineStr">
        <is>
          <t>LRF</t>
        </is>
      </c>
      <c r="M43" s="13" t="inlineStr">
        <is>
          <t>Karides, Midye</t>
        </is>
      </c>
      <c r="N43" s="13" t="inlineStr">
        <is>
          <t>EGE+AKDENİZ</t>
        </is>
      </c>
    </row>
    <row r="44">
      <c r="A44" s="13" t="inlineStr">
        <is>
          <t>levrek</t>
        </is>
      </c>
      <c r="B44" s="13" t="inlineStr">
        <is>
          <t>Levrek</t>
        </is>
      </c>
      <c r="C44" s="13" t="inlineStr">
        <is>
          <t>Dicentrarchus labrax</t>
        </is>
      </c>
      <c r="D44" s="13" t="inlineStr">
        <is>
          <t>KIYI_AVCI</t>
        </is>
      </c>
      <c r="E44" s="13" t="inlineStr">
        <is>
          <t>visual</t>
        </is>
      </c>
      <c r="F44" s="13" t="inlineStr">
        <is>
          <t>DAWN_DUSK</t>
        </is>
      </c>
      <c r="G44" s="13" t="n">
        <v>0.5</v>
      </c>
      <c r="H44" s="13" t="n">
        <v>40</v>
      </c>
      <c r="I44" s="13" t="n">
        <v>8</v>
      </c>
      <c r="J44" s="13" t="n">
        <v>20</v>
      </c>
      <c r="K44" s="13" t="n">
        <v>27</v>
      </c>
      <c r="L44" s="13" t="inlineStr">
        <is>
          <t>Gezer Kurşunlu Dip, Spin</t>
        </is>
      </c>
      <c r="M44" s="13" t="inlineStr">
        <is>
          <t>Canlı Teke, Mamun, Boru Kurdu</t>
        </is>
      </c>
      <c r="N44" s="13" t="inlineStr">
        <is>
          <t>MARMARA+EGE+AKDENİZ+KARADENİZ</t>
        </is>
      </c>
    </row>
    <row r="45">
      <c r="A45" s="13" t="inlineStr">
        <is>
          <t>lipsoz</t>
        </is>
      </c>
      <c r="B45" s="13" t="inlineStr">
        <is>
          <t>Lipsoz</t>
        </is>
      </c>
      <c r="C45" s="13" t="inlineStr">
        <is>
          <t>Scorpaena scrofa</t>
        </is>
      </c>
      <c r="D45" s="13" t="inlineStr">
        <is>
          <t>DIP_KIYI</t>
        </is>
      </c>
      <c r="E45" s="13" t="inlineStr">
        <is>
          <t>ambush</t>
        </is>
      </c>
      <c r="F45" s="13" t="inlineStr">
        <is>
          <t>NIGHT</t>
        </is>
      </c>
      <c r="G45" s="13" t="n">
        <v>20</v>
      </c>
      <c r="H45" s="13" t="n">
        <v>150</v>
      </c>
      <c r="I45" s="13" t="n">
        <v>11</v>
      </c>
      <c r="J45" s="13" t="n">
        <v>15</v>
      </c>
      <c r="K45" s="13" t="n">
        <v>21</v>
      </c>
      <c r="L45" s="13" t="inlineStr">
        <is>
          <t>Dip Takımı</t>
        </is>
      </c>
      <c r="M45" s="13" t="inlineStr">
        <is>
          <t>İstavrit Fleto, Karides, Kalamar</t>
        </is>
      </c>
      <c r="N45" s="13" t="inlineStr">
        <is>
          <t>EGE+AKDENİZ+MARMARA</t>
        </is>
      </c>
    </row>
    <row r="46">
      <c r="A46" s="13" t="inlineStr">
        <is>
          <t>lokum</t>
        </is>
      </c>
      <c r="B46" s="13" t="inlineStr">
        <is>
          <t>Lokum Balığı</t>
        </is>
      </c>
      <c r="C46" s="13" t="inlineStr">
        <is>
          <t>Sillago suezensis</t>
        </is>
      </c>
      <c r="D46" s="13" t="inlineStr">
        <is>
          <t>KUMSAL</t>
        </is>
      </c>
      <c r="E46" s="13" t="inlineStr">
        <is>
          <t>chemosensory</t>
        </is>
      </c>
      <c r="F46" s="13" t="inlineStr">
        <is>
          <t>DAY</t>
        </is>
      </c>
      <c r="G46" s="13" t="n">
        <v>0</v>
      </c>
      <c r="H46" s="13" t="n">
        <v>70</v>
      </c>
      <c r="I46" s="13" t="n">
        <v>20</v>
      </c>
      <c r="J46" s="13" t="n">
        <v>26</v>
      </c>
      <c r="K46" s="13" t="n">
        <v>30</v>
      </c>
      <c r="L46" s="13" t="inlineStr">
        <is>
          <t>Hafif dip</t>
        </is>
      </c>
      <c r="M46" s="13" t="inlineStr">
        <is>
          <t>Karides, Solucan, Deniz kurdu</t>
        </is>
      </c>
      <c r="N46" s="13" t="inlineStr">
        <is>
          <t>EGE+AKDENİZ</t>
        </is>
      </c>
    </row>
    <row r="47">
      <c r="A47" s="13" t="inlineStr">
        <is>
          <t>lufer</t>
        </is>
      </c>
      <c r="B47" s="13" t="inlineStr">
        <is>
          <t>Lüfer/Kofana</t>
        </is>
      </c>
      <c r="C47" s="13" t="inlineStr">
        <is>
          <t>Pomatomus saltatrix</t>
        </is>
      </c>
      <c r="D47" s="13" t="inlineStr">
        <is>
          <t>PELAJIK</t>
        </is>
      </c>
      <c r="E47" s="13" t="inlineStr">
        <is>
          <t>visual</t>
        </is>
      </c>
      <c r="F47" s="13" t="inlineStr">
        <is>
          <t>DAWN_DUSK</t>
        </is>
      </c>
      <c r="G47" s="13" t="n">
        <v>1</v>
      </c>
      <c r="H47" s="13" t="n">
        <v>40</v>
      </c>
      <c r="I47" s="13" t="n">
        <v>12</v>
      </c>
      <c r="J47" s="13" t="n">
        <v>18</v>
      </c>
      <c r="K47" s="13" t="n">
        <v>25</v>
      </c>
      <c r="L47" s="13" t="inlineStr">
        <is>
          <t>Uzun Olta, Mantarlı Çinekop, Hırsızlı Zoka</t>
        </is>
      </c>
      <c r="M47" s="13" t="inlineStr">
        <is>
          <t>Yaprak Zargana, İstavrit Fleto</t>
        </is>
      </c>
      <c r="N47" s="13" t="inlineStr">
        <is>
          <t>MARMARA+EGE+KARADENİZ+AKDENİZ</t>
        </is>
      </c>
    </row>
    <row r="48">
      <c r="A48" s="13" t="inlineStr">
        <is>
          <t>melanur</t>
        </is>
      </c>
      <c r="B48" s="13" t="inlineStr">
        <is>
          <t>Melanur</t>
        </is>
      </c>
      <c r="C48" s="13" t="inlineStr">
        <is>
          <t>Oblada melanura</t>
        </is>
      </c>
      <c r="D48" s="13" t="inlineStr">
        <is>
          <t>KIYI</t>
        </is>
      </c>
      <c r="E48" s="13" t="inlineStr">
        <is>
          <t>visual</t>
        </is>
      </c>
      <c r="F48" s="13" t="inlineStr">
        <is>
          <t>DAY</t>
        </is>
      </c>
      <c r="G48" s="13" t="n">
        <v>0</v>
      </c>
      <c r="H48" s="13" t="n">
        <v>40</v>
      </c>
      <c r="I48" s="13" t="n">
        <v>14</v>
      </c>
      <c r="J48" s="13" t="n">
        <v>20</v>
      </c>
      <c r="K48" s="13" t="n">
        <v>26</v>
      </c>
      <c r="L48" s="13" t="inlineStr">
        <is>
          <t>Şamandıralı, LRF</t>
        </is>
      </c>
      <c r="M48" s="13" t="inlineStr">
        <is>
          <t>Ekmek, Midye, Kurt</t>
        </is>
      </c>
      <c r="N48" s="13" t="inlineStr">
        <is>
          <t>EGE+AKDENİZ+MARMARA</t>
        </is>
      </c>
    </row>
    <row r="49">
      <c r="A49" s="13" t="inlineStr">
        <is>
          <t>mercan</t>
        </is>
      </c>
      <c r="B49" s="13" t="inlineStr">
        <is>
          <t>Mercan</t>
        </is>
      </c>
      <c r="C49" s="13" t="inlineStr">
        <is>
          <t>Pagrus pagrus</t>
        </is>
      </c>
      <c r="D49" s="13" t="inlineStr">
        <is>
          <t>DIP_KIYI</t>
        </is>
      </c>
      <c r="E49" s="13" t="inlineStr">
        <is>
          <t>chemosensory</t>
        </is>
      </c>
      <c r="F49" s="13" t="inlineStr">
        <is>
          <t>DAY</t>
        </is>
      </c>
      <c r="G49" s="13" t="n">
        <v>10</v>
      </c>
      <c r="H49" s="13" t="n">
        <v>250</v>
      </c>
      <c r="I49" s="13" t="n">
        <v>14</v>
      </c>
      <c r="J49" s="13" t="n">
        <v>20</v>
      </c>
      <c r="K49" s="13" t="n">
        <v>26</v>
      </c>
      <c r="L49" s="13" t="inlineStr">
        <is>
          <t>Dip Takımı</t>
        </is>
      </c>
      <c r="M49" s="13" t="inlineStr">
        <is>
          <t>Karides, Kalamar, Midye, Sülünez</t>
        </is>
      </c>
      <c r="N49" s="13" t="inlineStr">
        <is>
          <t>MARMARA+EGE+AKDENİZ</t>
        </is>
      </c>
    </row>
    <row r="50">
      <c r="A50" s="13" t="inlineStr">
        <is>
          <t>mersin</t>
        </is>
      </c>
      <c r="B50" s="13" t="inlineStr">
        <is>
          <t>Mersin Balığı</t>
        </is>
      </c>
      <c r="C50" s="13" t="inlineStr">
        <is>
          <t>Acipenser spp.</t>
        </is>
      </c>
      <c r="D50" s="13" t="inlineStr">
        <is>
          <t>KORUMA</t>
        </is>
      </c>
      <c r="E50" s="13" t="inlineStr">
        <is>
          <t>chemosensory</t>
        </is>
      </c>
      <c r="F50" s="13" t="inlineStr">
        <is>
          <t>DAY</t>
        </is>
      </c>
      <c r="G50" s="13" t="n">
        <v>20</v>
      </c>
      <c r="H50" s="13" t="n">
        <v>200</v>
      </c>
      <c r="I50" s="13" t="n">
        <v>10</v>
      </c>
      <c r="J50" s="13" t="n">
        <v>16</v>
      </c>
      <c r="K50" s="13" t="n">
        <v>22</v>
      </c>
      <c r="L50" s="13" t="inlineStr">
        <is>
          <t>Yok</t>
        </is>
      </c>
      <c r="M50" s="13" t="inlineStr">
        <is>
          <t>Yok — avı yasak</t>
        </is>
      </c>
      <c r="N50" s="13" t="inlineStr">
        <is>
          <t>KARADENİZ+MARMARA</t>
        </is>
      </c>
    </row>
    <row r="51">
      <c r="A51" s="13" t="inlineStr">
        <is>
          <t>mezgit</t>
        </is>
      </c>
      <c r="B51" s="13" t="inlineStr">
        <is>
          <t>Mezgit</t>
        </is>
      </c>
      <c r="C51" s="13" t="inlineStr">
        <is>
          <t>Merlangius merlangus</t>
        </is>
      </c>
      <c r="D51" s="13" t="inlineStr">
        <is>
          <t>DIP_DERIN</t>
        </is>
      </c>
      <c r="E51" s="13" t="inlineStr">
        <is>
          <t>chemosensory</t>
        </is>
      </c>
      <c r="F51" s="13" t="inlineStr">
        <is>
          <t>DAY</t>
        </is>
      </c>
      <c r="G51" s="13" t="n">
        <v>20</v>
      </c>
      <c r="H51" s="13" t="n">
        <v>200</v>
      </c>
      <c r="I51" s="13" t="n">
        <v>6</v>
      </c>
      <c r="J51" s="13" t="n">
        <v>12</v>
      </c>
      <c r="K51" s="13" t="n">
        <v>18</v>
      </c>
      <c r="L51" s="13" t="inlineStr">
        <is>
          <t>Klasik Çapari, Üç Köstekli Dip Oltası</t>
        </is>
      </c>
      <c r="M51" s="13" t="inlineStr">
        <is>
          <t>Karides, Kurt, Midye, Tavuk Göğsü</t>
        </is>
      </c>
      <c r="N51" s="13" t="inlineStr">
        <is>
          <t>MARMARA</t>
        </is>
      </c>
    </row>
    <row r="52">
      <c r="A52" s="13" t="inlineStr">
        <is>
          <t>mirlan</t>
        </is>
      </c>
      <c r="B52" s="13" t="inlineStr">
        <is>
          <t>Mezgit (Mırlan)</t>
        </is>
      </c>
      <c r="C52" s="13" t="inlineStr">
        <is>
          <t>Merlangius merlangus euxinus</t>
        </is>
      </c>
      <c r="D52" s="13" t="inlineStr">
        <is>
          <t>DIP_DERIN</t>
        </is>
      </c>
      <c r="E52" s="13" t="inlineStr">
        <is>
          <t>chemosensory</t>
        </is>
      </c>
      <c r="F52" s="13" t="inlineStr">
        <is>
          <t>DAY</t>
        </is>
      </c>
      <c r="G52" s="13" t="n">
        <v>15</v>
      </c>
      <c r="H52" s="13" t="n">
        <v>200</v>
      </c>
      <c r="I52" s="13" t="n">
        <v>6</v>
      </c>
      <c r="J52" s="13" t="n">
        <v>12</v>
      </c>
      <c r="K52" s="13" t="n">
        <v>18</v>
      </c>
      <c r="L52" s="13" t="inlineStr">
        <is>
          <t>Dip Takımı</t>
        </is>
      </c>
      <c r="M52" s="13" t="inlineStr">
        <is>
          <t>Karides, Kurt</t>
        </is>
      </c>
      <c r="N52" s="13" t="inlineStr">
        <is>
          <t>KARADENİZ</t>
        </is>
      </c>
    </row>
    <row r="53">
      <c r="A53" s="13" t="inlineStr">
        <is>
          <t>migri</t>
        </is>
      </c>
      <c r="B53" s="13" t="inlineStr">
        <is>
          <t>Mığrı (Deniz Yılanı)</t>
        </is>
      </c>
      <c r="C53" s="13" t="inlineStr">
        <is>
          <t>Conger conger</t>
        </is>
      </c>
      <c r="D53" s="13" t="inlineStr">
        <is>
          <t>DIP_KIYI</t>
        </is>
      </c>
      <c r="E53" s="13" t="inlineStr">
        <is>
          <t>chemosensory</t>
        </is>
      </c>
      <c r="F53" s="13" t="inlineStr">
        <is>
          <t>NIGHT</t>
        </is>
      </c>
      <c r="G53" s="13" t="n">
        <v>5</v>
      </c>
      <c r="H53" s="13" t="n">
        <v>150</v>
      </c>
      <c r="I53" s="13" t="n">
        <v>12</v>
      </c>
      <c r="J53" s="13" t="n">
        <v>17</v>
      </c>
      <c r="K53" s="13" t="n">
        <v>26</v>
      </c>
      <c r="L53" s="13" t="inlineStr">
        <is>
          <t>Ağır Dip</t>
        </is>
      </c>
      <c r="M53" s="13" t="inlineStr">
        <is>
          <t>Balık Eti, Kalamar</t>
        </is>
      </c>
      <c r="N53" s="13" t="inlineStr">
        <is>
          <t>MARMARA+EGE+AKDENİZ</t>
        </is>
      </c>
    </row>
    <row r="54">
      <c r="A54" s="13" t="inlineStr">
        <is>
          <t>mirmir</t>
        </is>
      </c>
      <c r="B54" s="13" t="inlineStr">
        <is>
          <t>Mırmır</t>
        </is>
      </c>
      <c r="C54" s="13" t="inlineStr">
        <is>
          <t>Lithognathus mormyrus</t>
        </is>
      </c>
      <c r="D54" s="13" t="inlineStr">
        <is>
          <t>KIYI</t>
        </is>
      </c>
      <c r="E54" s="13" t="inlineStr">
        <is>
          <t>chemosensory</t>
        </is>
      </c>
      <c r="F54" s="13" t="inlineStr">
        <is>
          <t>NIGHT</t>
        </is>
      </c>
      <c r="G54" s="13" t="n">
        <v>0</v>
      </c>
      <c r="H54" s="13" t="n">
        <v>150</v>
      </c>
      <c r="I54" s="13" t="n">
        <v>14</v>
      </c>
      <c r="J54" s="13" t="n">
        <v>19</v>
      </c>
      <c r="K54" s="13" t="n">
        <v>28</v>
      </c>
      <c r="L54" s="13" t="inlineStr">
        <is>
          <t>Hafif Gezer Kurşunlu Dip</t>
        </is>
      </c>
      <c r="M54" s="13" t="inlineStr">
        <is>
          <t>Boru Kurdu (Favori), Mamun, Kum Solucanı</t>
        </is>
      </c>
      <c r="N54" s="13" t="inlineStr">
        <is>
          <t>EGE+AKDENİZ+MARMARA+KARADENİZ</t>
        </is>
      </c>
    </row>
    <row r="55">
      <c r="A55" s="13" t="inlineStr">
        <is>
          <t>minekop</t>
        </is>
      </c>
      <c r="B55" s="13" t="inlineStr">
        <is>
          <t>Minekop</t>
        </is>
      </c>
      <c r="C55" s="13" t="inlineStr">
        <is>
          <t>Umbrina cirrosa</t>
        </is>
      </c>
      <c r="D55" s="13" t="inlineStr">
        <is>
          <t>DIP_KIYI</t>
        </is>
      </c>
      <c r="E55" s="13" t="inlineStr">
        <is>
          <t>chemosensory</t>
        </is>
      </c>
      <c r="F55" s="13" t="inlineStr">
        <is>
          <t>NIGHT</t>
        </is>
      </c>
      <c r="G55" s="13" t="n">
        <v>0</v>
      </c>
      <c r="H55" s="13" t="n">
        <v>150</v>
      </c>
      <c r="I55" s="13" t="n">
        <v>12</v>
      </c>
      <c r="J55" s="13" t="n">
        <v>18</v>
      </c>
      <c r="K55" s="13" t="n">
        <v>25</v>
      </c>
      <c r="L55" s="13" t="inlineStr">
        <is>
          <t>Ağır Dip Takımı</t>
        </is>
      </c>
      <c r="M55" s="13" t="inlineStr">
        <is>
          <t>Boru Kurdu, Sülünez, Sardalya</t>
        </is>
      </c>
      <c r="N55" s="13" t="inlineStr">
        <is>
          <t>EGE+AKDENİZ+MARMARA+KARADENİZ</t>
        </is>
      </c>
    </row>
    <row r="56">
      <c r="A56" s="13" t="inlineStr">
        <is>
          <t>muren</t>
        </is>
      </c>
      <c r="B56" s="13" t="inlineStr">
        <is>
          <t>Müren</t>
        </is>
      </c>
      <c r="C56" s="13" t="inlineStr">
        <is>
          <t>Muraena helena</t>
        </is>
      </c>
      <c r="D56" s="13" t="inlineStr">
        <is>
          <t>KAYALIK</t>
        </is>
      </c>
      <c r="E56" s="13" t="inlineStr">
        <is>
          <t>chemosensory</t>
        </is>
      </c>
      <c r="F56" s="13" t="inlineStr">
        <is>
          <t>NIGHT</t>
        </is>
      </c>
      <c r="G56" s="13" t="n">
        <v>2</v>
      </c>
      <c r="H56" s="13" t="n">
        <v>40</v>
      </c>
      <c r="I56" s="13" t="n">
        <v>13</v>
      </c>
      <c r="J56" s="13" t="n">
        <v>23</v>
      </c>
      <c r="K56" s="13" t="n">
        <v>28</v>
      </c>
      <c r="L56" s="13" t="inlineStr">
        <is>
          <t>Ağır Dip</t>
        </is>
      </c>
      <c r="M56" s="13" t="inlineStr">
        <is>
          <t>Balık Kafası, Kalamar</t>
        </is>
      </c>
      <c r="N56" s="13" t="inlineStr">
        <is>
          <t>EGE+AKDENİZ</t>
        </is>
      </c>
    </row>
    <row r="57">
      <c r="A57" s="13" t="inlineStr">
        <is>
          <t>orfoz</t>
        </is>
      </c>
      <c r="B57" s="13" t="inlineStr">
        <is>
          <t>Orfoz</t>
        </is>
      </c>
      <c r="C57" s="13" t="inlineStr">
        <is>
          <t>Epinephelus marginatus</t>
        </is>
      </c>
      <c r="D57" s="13" t="inlineStr">
        <is>
          <t>KORUMA</t>
        </is>
      </c>
      <c r="E57" s="13" t="inlineStr">
        <is>
          <t>ambush</t>
        </is>
      </c>
      <c r="F57" s="13" t="inlineStr">
        <is>
          <t>DAWN_DUSK</t>
        </is>
      </c>
      <c r="G57" s="13" t="n">
        <v>5</v>
      </c>
      <c r="H57" s="13" t="n">
        <v>200</v>
      </c>
      <c r="I57" s="13" t="n">
        <v>14</v>
      </c>
      <c r="J57" s="13" t="n">
        <v>20</v>
      </c>
      <c r="K57" s="13" t="n">
        <v>26</v>
      </c>
      <c r="L57" s="13" t="inlineStr">
        <is>
          <t>-</t>
        </is>
      </c>
      <c r="M57" s="13" t="inlineStr">
        <is>
          <t>-</t>
        </is>
      </c>
      <c r="N57" s="13" t="inlineStr">
        <is>
          <t>EGE+AKDENİZ</t>
        </is>
      </c>
    </row>
    <row r="58">
      <c r="A58" s="13" t="inlineStr">
        <is>
          <t>palamut</t>
        </is>
      </c>
      <c r="B58" s="13" t="inlineStr">
        <is>
          <t>Palamut</t>
        </is>
      </c>
      <c r="C58" s="13" t="inlineStr">
        <is>
          <t>Sarda sarda</t>
        </is>
      </c>
      <c r="D58" s="13" t="inlineStr">
        <is>
          <t>PELAJIK</t>
        </is>
      </c>
      <c r="E58" s="13" t="inlineStr">
        <is>
          <t>visual</t>
        </is>
      </c>
      <c r="F58" s="13" t="inlineStr">
        <is>
          <t>CREPUSCULAR</t>
        </is>
      </c>
      <c r="G58" s="13" t="n">
        <v>5</v>
      </c>
      <c r="H58" s="13" t="n">
        <v>100</v>
      </c>
      <c r="I58" s="13" t="n">
        <v>12</v>
      </c>
      <c r="J58" s="13" t="n">
        <v>18</v>
      </c>
      <c r="K58" s="13" t="n">
        <v>24</v>
      </c>
      <c r="L58" s="13" t="inlineStr">
        <is>
          <t>Çapari, Trolling, Sırtı</t>
        </is>
      </c>
      <c r="M58" s="13" t="inlineStr">
        <is>
          <t>İstavrit, Sardalya, Sahte Yem</t>
        </is>
      </c>
      <c r="N58" s="13" t="inlineStr">
        <is>
          <t>MARMARA+KARADENİZ+EGE+AKDENİZ</t>
        </is>
      </c>
    </row>
    <row r="59">
      <c r="A59" s="13" t="inlineStr">
        <is>
          <t>papalina</t>
        </is>
      </c>
      <c r="B59" s="13" t="inlineStr">
        <is>
          <t>Papalina</t>
        </is>
      </c>
      <c r="C59" s="13" t="inlineStr">
        <is>
          <t>Sprattus sprattus</t>
        </is>
      </c>
      <c r="D59" s="13" t="inlineStr">
        <is>
          <t>PELAJIK</t>
        </is>
      </c>
      <c r="E59" s="13" t="inlineStr">
        <is>
          <t>visual</t>
        </is>
      </c>
      <c r="F59" s="13" t="inlineStr">
        <is>
          <t>NIGHT</t>
        </is>
      </c>
      <c r="G59" s="13" t="n">
        <v>5</v>
      </c>
      <c r="H59" s="13" t="n">
        <v>120</v>
      </c>
      <c r="I59" s="13" t="n">
        <v>8</v>
      </c>
      <c r="J59" s="13" t="n">
        <v>12</v>
      </c>
      <c r="K59" s="13" t="n">
        <v>20</v>
      </c>
      <c r="L59" s="13" t="inlineStr">
        <is>
          <t>Çapari</t>
        </is>
      </c>
      <c r="M59" s="13" t="inlineStr">
        <is>
          <t>Yok</t>
        </is>
      </c>
      <c r="N59" s="13" t="inlineStr">
        <is>
          <t>MARMARA</t>
        </is>
      </c>
    </row>
    <row r="60">
      <c r="A60" s="13" t="inlineStr">
        <is>
          <t>pisi</t>
        </is>
      </c>
      <c r="B60" s="13" t="inlineStr">
        <is>
          <t>Pisi Balığı</t>
        </is>
      </c>
      <c r="C60" s="13" t="inlineStr">
        <is>
          <t>Platichthys flesus</t>
        </is>
      </c>
      <c r="D60" s="13" t="inlineStr">
        <is>
          <t>DIP_KIYI</t>
        </is>
      </c>
      <c r="E60" s="13" t="inlineStr">
        <is>
          <t>chemosensory</t>
        </is>
      </c>
      <c r="F60" s="13" t="inlineStr">
        <is>
          <t>NIGHT</t>
        </is>
      </c>
      <c r="G60" s="13" t="n">
        <v>0</v>
      </c>
      <c r="H60" s="13" t="n">
        <v>50</v>
      </c>
      <c r="I60" s="13" t="n">
        <v>8</v>
      </c>
      <c r="J60" s="13" t="n">
        <v>14</v>
      </c>
      <c r="K60" s="13" t="n">
        <v>20</v>
      </c>
      <c r="L60" s="13" t="inlineStr">
        <is>
          <t>Dip</t>
        </is>
      </c>
      <c r="M60" s="13" t="inlineStr">
        <is>
          <t>Kurt, Midye</t>
        </is>
      </c>
      <c r="N60" s="13" t="inlineStr">
        <is>
          <t>KARADENİZ+MARMARA</t>
        </is>
      </c>
    </row>
    <row r="61">
      <c r="A61" s="13" t="inlineStr">
        <is>
          <t>sardalya</t>
        </is>
      </c>
      <c r="B61" s="13" t="inlineStr">
        <is>
          <t>Sardalya</t>
        </is>
      </c>
      <c r="C61" s="13" t="inlineStr">
        <is>
          <t>Sardina pilchardus</t>
        </is>
      </c>
      <c r="D61" s="13" t="inlineStr">
        <is>
          <t>TİCARİ</t>
        </is>
      </c>
      <c r="E61" s="13" t="inlineStr">
        <is>
          <t>filter</t>
        </is>
      </c>
      <c r="F61" s="13" t="inlineStr">
        <is>
          <t>NIGHT</t>
        </is>
      </c>
      <c r="G61" s="13" t="n">
        <v>10</v>
      </c>
      <c r="H61" s="13" t="n">
        <v>100</v>
      </c>
      <c r="I61" s="13" t="n">
        <v>10</v>
      </c>
      <c r="J61" s="13" t="n">
        <v>16</v>
      </c>
      <c r="K61" s="13" t="n">
        <v>27</v>
      </c>
      <c r="L61" s="13" t="inlineStr">
        <is>
          <t>Çapari / Ağ</t>
        </is>
      </c>
      <c r="M61" s="13" t="inlineStr">
        <is>
          <t>-</t>
        </is>
      </c>
      <c r="N61" s="13" t="inlineStr">
        <is>
          <t>EGE+AKDENİZ+MARMARA+KARADENİZ</t>
        </is>
      </c>
    </row>
    <row r="62">
      <c r="A62" s="13" t="inlineStr">
        <is>
          <t>sargoz</t>
        </is>
      </c>
      <c r="B62" s="13" t="inlineStr">
        <is>
          <t>Sargoz</t>
        </is>
      </c>
      <c r="C62" s="13" t="inlineStr">
        <is>
          <t>Diplodus sargus</t>
        </is>
      </c>
      <c r="D62" s="13" t="inlineStr">
        <is>
          <t>KIYI</t>
        </is>
      </c>
      <c r="E62" s="13" t="inlineStr">
        <is>
          <t>visual</t>
        </is>
      </c>
      <c r="F62" s="13" t="inlineStr">
        <is>
          <t>DAWN_DUSK</t>
        </is>
      </c>
      <c r="G62" s="13" t="n">
        <v>0</v>
      </c>
      <c r="H62" s="13" t="n">
        <v>50</v>
      </c>
      <c r="I62" s="13" t="n">
        <v>10</v>
      </c>
      <c r="J62" s="13" t="n">
        <v>20</v>
      </c>
      <c r="K62" s="13" t="n">
        <v>26</v>
      </c>
      <c r="L62" s="13" t="inlineStr">
        <is>
          <t>Şeytan Oltası, Dip</t>
        </is>
      </c>
      <c r="M62" s="13" t="inlineStr">
        <is>
          <t>Midye, Yengeç, Mamun</t>
        </is>
      </c>
      <c r="N62" s="13" t="inlineStr">
        <is>
          <t>EGE+AKDENİZ+MARMARA+KARADENİZ</t>
        </is>
      </c>
    </row>
    <row r="63">
      <c r="A63" s="13" t="inlineStr">
        <is>
          <t>sarikulak</t>
        </is>
      </c>
      <c r="B63" s="13" t="inlineStr">
        <is>
          <t>Sarıkulak Kefal</t>
        </is>
      </c>
      <c r="C63" s="13" t="inlineStr">
        <is>
          <t>Chelon auratus</t>
        </is>
      </c>
      <c r="D63" s="13" t="inlineStr">
        <is>
          <t>LAGUN</t>
        </is>
      </c>
      <c r="E63" s="13" t="inlineStr">
        <is>
          <t>filter</t>
        </is>
      </c>
      <c r="F63" s="13" t="inlineStr">
        <is>
          <t>DAY</t>
        </is>
      </c>
      <c r="G63" s="13" t="n">
        <v>0</v>
      </c>
      <c r="H63" s="13" t="n">
        <v>20</v>
      </c>
      <c r="I63" s="13" t="n">
        <v>10</v>
      </c>
      <c r="J63" s="13" t="n">
        <v>18</v>
      </c>
      <c r="K63" s="13" t="n">
        <v>26</v>
      </c>
      <c r="L63" s="13" t="inlineStr">
        <is>
          <t>Kıbrıs Takımı, Şamandıralı</t>
        </is>
      </c>
      <c r="M63" s="13" t="inlineStr">
        <is>
          <t>Ekmek, Kıbrıs Sarma</t>
        </is>
      </c>
      <c r="N63" s="13" t="inlineStr">
        <is>
          <t>MARMARA+EGE+AKDENİZ+KARADENİZ</t>
        </is>
      </c>
    </row>
    <row r="64">
      <c r="A64" s="13" t="inlineStr">
        <is>
          <t>sarpa</t>
        </is>
      </c>
      <c r="B64" s="13" t="inlineStr">
        <is>
          <t>Sarpa (Salpa)</t>
        </is>
      </c>
      <c r="C64" s="13" t="inlineStr">
        <is>
          <t>Sarpa salpa</t>
        </is>
      </c>
      <c r="D64" s="13" t="inlineStr">
        <is>
          <t>KAYALIK</t>
        </is>
      </c>
      <c r="E64" s="13" t="inlineStr">
        <is>
          <t>visual</t>
        </is>
      </c>
      <c r="F64" s="13" t="inlineStr">
        <is>
          <t>DAY</t>
        </is>
      </c>
      <c r="G64" s="13" t="n">
        <v>0</v>
      </c>
      <c r="H64" s="13" t="n">
        <v>15</v>
      </c>
      <c r="I64" s="13" t="n">
        <v>16</v>
      </c>
      <c r="J64" s="13" t="n">
        <v>22</v>
      </c>
      <c r="K64" s="13" t="n">
        <v>28</v>
      </c>
      <c r="L64" s="13" t="inlineStr">
        <is>
          <t>Şamandıralı</t>
        </is>
      </c>
      <c r="M64" s="13" t="inlineStr">
        <is>
          <t>Ekmek, Yosun</t>
        </is>
      </c>
      <c r="N64" s="13" t="inlineStr">
        <is>
          <t>MARMARA+EGE+AKDENİZ</t>
        </is>
      </c>
    </row>
    <row r="65">
      <c r="A65" s="13" t="inlineStr">
        <is>
          <t>sinarit</t>
        </is>
      </c>
      <c r="B65" s="13" t="inlineStr">
        <is>
          <t>Sinarit</t>
        </is>
      </c>
      <c r="C65" s="13" t="inlineStr">
        <is>
          <t>Dentex dentex</t>
        </is>
      </c>
      <c r="D65" s="13" t="inlineStr">
        <is>
          <t>KIYI_AVCI</t>
        </is>
      </c>
      <c r="E65" s="13" t="inlineStr">
        <is>
          <t>visual</t>
        </is>
      </c>
      <c r="F65" s="13" t="inlineStr">
        <is>
          <t>DAY</t>
        </is>
      </c>
      <c r="G65" s="13" t="n">
        <v>15</v>
      </c>
      <c r="H65" s="13" t="n">
        <v>200</v>
      </c>
      <c r="I65" s="13" t="n">
        <v>13</v>
      </c>
      <c r="J65" s="13" t="n">
        <v>18</v>
      </c>
      <c r="K65" s="13" t="n">
        <v>27</v>
      </c>
      <c r="L65" s="13" t="inlineStr">
        <is>
          <t>Jigging, Dip Sırtısı, Trolling</t>
        </is>
      </c>
      <c r="M65" s="13" t="inlineStr">
        <is>
          <t>Canlı Kalamar, Sübye, Karides</t>
        </is>
      </c>
      <c r="N65" s="13" t="inlineStr">
        <is>
          <t>MARMARA+EGE+AKDENİZ</t>
        </is>
      </c>
    </row>
    <row r="66">
      <c r="A66" s="13" t="inlineStr">
        <is>
          <t>sivriburun</t>
        </is>
      </c>
      <c r="B66" s="13" t="inlineStr">
        <is>
          <t>Sivriburun Karagöz</t>
        </is>
      </c>
      <c r="C66" s="13" t="inlineStr">
        <is>
          <t>Diplodus puntazzo</t>
        </is>
      </c>
      <c r="D66" s="13" t="inlineStr">
        <is>
          <t>KIYI</t>
        </is>
      </c>
      <c r="E66" s="13" t="inlineStr">
        <is>
          <t>visual</t>
        </is>
      </c>
      <c r="F66" s="13" t="inlineStr">
        <is>
          <t>DAWN_DUSK</t>
        </is>
      </c>
      <c r="G66" s="13" t="n">
        <v>0</v>
      </c>
      <c r="H66" s="13" t="n">
        <v>60</v>
      </c>
      <c r="I66" s="13" t="n">
        <v>11</v>
      </c>
      <c r="J66" s="13" t="n">
        <v>20</v>
      </c>
      <c r="K66" s="13" t="n">
        <v>26</v>
      </c>
      <c r="L66" s="13" t="inlineStr">
        <is>
          <t>Şeytan Oltası, Dip Takımı</t>
        </is>
      </c>
      <c r="M66" s="13" t="inlineStr">
        <is>
          <t>Yengeç, Midye, Mamun</t>
        </is>
      </c>
      <c r="N66" s="13" t="inlineStr">
        <is>
          <t>EGE+AKDENİZ+MARMARA</t>
        </is>
      </c>
    </row>
    <row r="67">
      <c r="A67" s="13" t="inlineStr">
        <is>
          <t>subye</t>
        </is>
      </c>
      <c r="B67" s="13" t="inlineStr">
        <is>
          <t>Sübye</t>
        </is>
      </c>
      <c r="C67" s="13" t="inlineStr">
        <is>
          <t>Sepia officinalis</t>
        </is>
      </c>
      <c r="D67" s="13" t="inlineStr">
        <is>
          <t>KALAMAR</t>
        </is>
      </c>
      <c r="E67" s="13" t="inlineStr">
        <is>
          <t>visual</t>
        </is>
      </c>
      <c r="F67" s="13" t="inlineStr">
        <is>
          <t>NIGHT</t>
        </is>
      </c>
      <c r="G67" s="13" t="n">
        <v>1</v>
      </c>
      <c r="H67" s="13" t="n">
        <v>100</v>
      </c>
      <c r="I67" s="13" t="n">
        <v>11</v>
      </c>
      <c r="J67" s="13" t="n">
        <v>18</v>
      </c>
      <c r="K67" s="13" t="n">
        <v>24</v>
      </c>
      <c r="L67" s="13" t="inlineStr">
        <is>
          <t>Eging Takımı</t>
        </is>
      </c>
      <c r="M67" s="13" t="inlineStr">
        <is>
          <t>Kalamar Zokası</t>
        </is>
      </c>
      <c r="N67" s="13" t="inlineStr">
        <is>
          <t>EGE+AKDENİZ+MARMARA</t>
        </is>
      </c>
    </row>
    <row r="68">
      <c r="A68" s="13" t="inlineStr">
        <is>
          <t>tekir</t>
        </is>
      </c>
      <c r="B68" s="13" t="inlineStr">
        <is>
          <t>Tekir</t>
        </is>
      </c>
      <c r="C68" s="13" t="inlineStr">
        <is>
          <t>Mullus surmuletus</t>
        </is>
      </c>
      <c r="D68" s="13" t="inlineStr">
        <is>
          <t>DIP_KIYI</t>
        </is>
      </c>
      <c r="E68" s="13" t="inlineStr">
        <is>
          <t>chemosensory</t>
        </is>
      </c>
      <c r="F68" s="13" t="inlineStr">
        <is>
          <t>DAY</t>
        </is>
      </c>
      <c r="G68" s="13" t="n">
        <v>3</v>
      </c>
      <c r="H68" s="13" t="n">
        <v>80</v>
      </c>
      <c r="I68" s="13" t="n">
        <v>9</v>
      </c>
      <c r="J68" s="13" t="n">
        <v>18</v>
      </c>
      <c r="K68" s="13" t="n">
        <v>27</v>
      </c>
      <c r="L68" s="13" t="inlineStr">
        <is>
          <t>Dip</t>
        </is>
      </c>
      <c r="M68" s="13" t="inlineStr">
        <is>
          <t>Kurt, Karides</t>
        </is>
      </c>
      <c r="N68" s="13" t="inlineStr">
        <is>
          <t>EGE+AKDENİZ+MARMARA+KARADENİZ</t>
        </is>
      </c>
    </row>
    <row r="69">
      <c r="A69" s="13" t="inlineStr">
        <is>
          <t>tirsi</t>
        </is>
      </c>
      <c r="B69" s="13" t="inlineStr">
        <is>
          <t>Tirsi</t>
        </is>
      </c>
      <c r="C69" s="13" t="inlineStr">
        <is>
          <t>Alosa fallax</t>
        </is>
      </c>
      <c r="D69" s="13" t="inlineStr">
        <is>
          <t>PELAJIK</t>
        </is>
      </c>
      <c r="E69" s="13" t="inlineStr">
        <is>
          <t>visual</t>
        </is>
      </c>
      <c r="F69" s="13" t="inlineStr">
        <is>
          <t>DAY</t>
        </is>
      </c>
      <c r="G69" s="13" t="n">
        <v>2</v>
      </c>
      <c r="H69" s="13" t="n">
        <v>60</v>
      </c>
      <c r="I69" s="13" t="n">
        <v>10</v>
      </c>
      <c r="J69" s="13" t="n">
        <v>16</v>
      </c>
      <c r="K69" s="13" t="n">
        <v>22</v>
      </c>
      <c r="L69" s="13" t="inlineStr">
        <is>
          <t>Spin</t>
        </is>
      </c>
      <c r="M69" s="13" t="inlineStr">
        <is>
          <t>Küçük Balık</t>
        </is>
      </c>
      <c r="N69" s="13" t="inlineStr">
        <is>
          <t>KARADENİZ+MARMARA</t>
        </is>
      </c>
    </row>
    <row r="70">
      <c r="A70" s="13" t="inlineStr">
        <is>
          <t>trakonya</t>
        </is>
      </c>
      <c r="B70" s="13" t="inlineStr">
        <is>
          <t>Trakonya</t>
        </is>
      </c>
      <c r="C70" s="13" t="inlineStr">
        <is>
          <t>Trachinus draco</t>
        </is>
      </c>
      <c r="D70" s="13" t="inlineStr">
        <is>
          <t>KUM_TABAN</t>
        </is>
      </c>
      <c r="E70" s="13" t="inlineStr">
        <is>
          <t>ambush</t>
        </is>
      </c>
      <c r="F70" s="13" t="inlineStr">
        <is>
          <t>NIGHT</t>
        </is>
      </c>
      <c r="G70" s="13" t="n">
        <v>0</v>
      </c>
      <c r="H70" s="13" t="n">
        <v>150</v>
      </c>
      <c r="I70" s="13" t="n">
        <v>8</v>
      </c>
      <c r="J70" s="13" t="n">
        <v>21</v>
      </c>
      <c r="K70" s="13" t="n">
        <v>28</v>
      </c>
      <c r="L70" s="13" t="inlineStr">
        <is>
          <t>Dip Takımı</t>
        </is>
      </c>
      <c r="M70" s="13" t="inlineStr">
        <is>
          <t>Deniz Kurdu, Karides, Balık Parçası</t>
        </is>
      </c>
      <c r="N70" s="13" t="inlineStr">
        <is>
          <t>EGE+AKDENİZ+MARMARA+KARADENİZ</t>
        </is>
      </c>
    </row>
    <row r="71">
      <c r="A71" s="13" t="inlineStr">
        <is>
          <t>trakun</t>
        </is>
      </c>
      <c r="B71" s="13" t="inlineStr">
        <is>
          <t>Trakun (Tral)</t>
        </is>
      </c>
      <c r="C71" s="13" t="inlineStr">
        <is>
          <t>Caranx crysos</t>
        </is>
      </c>
      <c r="D71" s="13" t="inlineStr">
        <is>
          <t>PELAJIK</t>
        </is>
      </c>
      <c r="E71" s="13" t="inlineStr">
        <is>
          <t>visual</t>
        </is>
      </c>
      <c r="F71" s="13" t="inlineStr">
        <is>
          <t>DAY</t>
        </is>
      </c>
      <c r="G71" s="13" t="n">
        <v>0</v>
      </c>
      <c r="H71" s="13" t="n">
        <v>50</v>
      </c>
      <c r="I71" s="13" t="n">
        <v>17</v>
      </c>
      <c r="J71" s="13" t="n">
        <v>25</v>
      </c>
      <c r="K71" s="13" t="n">
        <v>28</v>
      </c>
      <c r="L71" s="13" t="inlineStr">
        <is>
          <t>Paternoster, Trolling</t>
        </is>
      </c>
      <c r="M71" s="13" t="inlineStr">
        <is>
          <t>Hamsi, İstavrit</t>
        </is>
      </c>
      <c r="N71" s="13" t="inlineStr">
        <is>
          <t>EGE+AKDENİZ</t>
        </is>
      </c>
    </row>
    <row r="72">
      <c r="A72" s="13" t="inlineStr">
        <is>
          <t>tranca</t>
        </is>
      </c>
      <c r="B72" s="13" t="inlineStr">
        <is>
          <t>Trança</t>
        </is>
      </c>
      <c r="C72" s="13" t="inlineStr">
        <is>
          <t>Dentex gibbosus</t>
        </is>
      </c>
      <c r="D72" s="13" t="inlineStr">
        <is>
          <t>DIP_DERIN</t>
        </is>
      </c>
      <c r="E72" s="13" t="inlineStr">
        <is>
          <t>chemosensory</t>
        </is>
      </c>
      <c r="F72" s="13" t="inlineStr">
        <is>
          <t>DAY</t>
        </is>
      </c>
      <c r="G72" s="13" t="n">
        <v>30</v>
      </c>
      <c r="H72" s="13" t="n">
        <v>200</v>
      </c>
      <c r="I72" s="13" t="n">
        <v>14</v>
      </c>
      <c r="J72" s="13" t="n">
        <v>21</v>
      </c>
      <c r="K72" s="13" t="n">
        <v>26</v>
      </c>
      <c r="L72" s="13" t="inlineStr">
        <is>
          <t>Jig Takımı, Derin Dip</t>
        </is>
      </c>
      <c r="M72" s="13" t="inlineStr">
        <is>
          <t>Canlı Kalamar, Teke</t>
        </is>
      </c>
      <c r="N72" s="13" t="inlineStr">
        <is>
          <t>EGE+AKDENİZ</t>
        </is>
      </c>
    </row>
    <row r="73">
      <c r="A73" s="13" t="inlineStr">
        <is>
          <t>uskumru</t>
        </is>
      </c>
      <c r="B73" s="13" t="inlineStr">
        <is>
          <t>Uskumru</t>
        </is>
      </c>
      <c r="C73" s="13" t="inlineStr">
        <is>
          <t>Scomber scombrus</t>
        </is>
      </c>
      <c r="D73" s="13" t="inlineStr">
        <is>
          <t>SÜRÜ</t>
        </is>
      </c>
      <c r="E73" s="13" t="inlineStr">
        <is>
          <t>visual</t>
        </is>
      </c>
      <c r="F73" s="13" t="inlineStr">
        <is>
          <t>DAY</t>
        </is>
      </c>
      <c r="G73" s="13" t="n">
        <v>5</v>
      </c>
      <c r="H73" s="13" t="n">
        <v>50</v>
      </c>
      <c r="I73" s="13" t="n">
        <v>8</v>
      </c>
      <c r="J73" s="13" t="n">
        <v>16</v>
      </c>
      <c r="K73" s="13" t="n">
        <v>22</v>
      </c>
      <c r="L73" s="13" t="inlineStr">
        <is>
          <t>Çapari Takımı</t>
        </is>
      </c>
      <c r="M73" s="13" t="inlineStr">
        <is>
          <t>Çapari</t>
        </is>
      </c>
      <c r="N73" s="13" t="inlineStr">
        <is>
          <t>MARMARA+EGE+KARADENİZ+AKDENİZ</t>
        </is>
      </c>
    </row>
    <row r="74">
      <c r="A74" s="13" t="inlineStr">
        <is>
          <t>vatoz</t>
        </is>
      </c>
      <c r="B74" s="13" t="inlineStr">
        <is>
          <t>Vatoz</t>
        </is>
      </c>
      <c r="C74" s="13" t="inlineStr">
        <is>
          <t>Dasyatis pastinaca</t>
        </is>
      </c>
      <c r="D74" s="13" t="inlineStr">
        <is>
          <t>DIP_KIYI</t>
        </is>
      </c>
      <c r="E74" s="13" t="inlineStr">
        <is>
          <t>chemosensory</t>
        </is>
      </c>
      <c r="F74" s="13" t="inlineStr">
        <is>
          <t>NIGHT</t>
        </is>
      </c>
      <c r="G74" s="13" t="n">
        <v>2</v>
      </c>
      <c r="H74" s="13" t="n">
        <v>60</v>
      </c>
      <c r="I74" s="13" t="n">
        <v>12</v>
      </c>
      <c r="J74" s="13" t="n">
        <v>18</v>
      </c>
      <c r="K74" s="13" t="n">
        <v>26</v>
      </c>
      <c r="L74" s="13" t="inlineStr">
        <is>
          <t>Ağır Dip</t>
        </is>
      </c>
      <c r="M74" s="13" t="inlineStr">
        <is>
          <t>Balık Eti</t>
        </is>
      </c>
      <c r="N74" s="13" t="inlineStr">
        <is>
          <t>MARMARA+EGE+KARADENİZ+AKDENİZ</t>
        </is>
      </c>
    </row>
    <row r="75">
      <c r="A75" s="13" t="inlineStr">
        <is>
          <t>yazili_orkinos</t>
        </is>
      </c>
      <c r="B75" s="13" t="inlineStr">
        <is>
          <t>Yazılı Orkinos</t>
        </is>
      </c>
      <c r="C75" s="13" t="inlineStr">
        <is>
          <t>Euthynnus alletteratus</t>
        </is>
      </c>
      <c r="D75" s="13" t="inlineStr">
        <is>
          <t>PELAJIK</t>
        </is>
      </c>
      <c r="E75" s="13" t="inlineStr">
        <is>
          <t>visual</t>
        </is>
      </c>
      <c r="F75" s="13" t="inlineStr">
        <is>
          <t>DAY</t>
        </is>
      </c>
      <c r="G75" s="13" t="n">
        <v>5</v>
      </c>
      <c r="H75" s="13" t="n">
        <v>200</v>
      </c>
      <c r="I75" s="13" t="n">
        <v>18</v>
      </c>
      <c r="J75" s="13" t="n">
        <v>24</v>
      </c>
      <c r="K75" s="13" t="n">
        <v>30</v>
      </c>
      <c r="L75" s="13" t="inlineStr">
        <is>
          <t>Trolling</t>
        </is>
      </c>
      <c r="M75" s="13" t="inlineStr">
        <is>
          <t>Canlı balık, Sardalya</t>
        </is>
      </c>
      <c r="N75" s="13" t="inlineStr">
        <is>
          <t>EGE+AKDENİZ</t>
        </is>
      </c>
    </row>
    <row r="76">
      <c r="A76" s="13" t="inlineStr">
        <is>
          <t>yilan_baligi</t>
        </is>
      </c>
      <c r="B76" s="13" t="inlineStr">
        <is>
          <t>Yılan Balığı</t>
        </is>
      </c>
      <c r="C76" s="13" t="inlineStr">
        <is>
          <t>Anguilla anguilla</t>
        </is>
      </c>
      <c r="D76" s="13" t="inlineStr">
        <is>
          <t>LAGUN</t>
        </is>
      </c>
      <c r="E76" s="13" t="inlineStr">
        <is>
          <t>chemosensory</t>
        </is>
      </c>
      <c r="F76" s="13" t="inlineStr">
        <is>
          <t>NIGHT</t>
        </is>
      </c>
      <c r="G76" s="13" t="n">
        <v>0</v>
      </c>
      <c r="H76" s="13" t="n">
        <v>20</v>
      </c>
      <c r="I76" s="13" t="n">
        <v>10</v>
      </c>
      <c r="J76" s="13" t="n">
        <v>20</v>
      </c>
      <c r="K76" s="13" t="n">
        <v>26</v>
      </c>
      <c r="L76" s="13" t="inlineStr">
        <is>
          <t>Dip Takımı, Gece Oltası</t>
        </is>
      </c>
      <c r="M76" s="13" t="inlineStr">
        <is>
          <t>Solucan, Karides, Küçük Balık</t>
        </is>
      </c>
      <c r="N76" s="13" t="inlineStr">
        <is>
          <t>EGE+AKDENİZ+MARMARA+KARADENİZ</t>
        </is>
      </c>
    </row>
    <row r="77">
      <c r="A77" s="13" t="inlineStr">
        <is>
          <t>zargana</t>
        </is>
      </c>
      <c r="B77" s="13" t="inlineStr">
        <is>
          <t>Zargana</t>
        </is>
      </c>
      <c r="C77" s="13" t="inlineStr">
        <is>
          <t>Belone belone</t>
        </is>
      </c>
      <c r="D77" s="13" t="inlineStr">
        <is>
          <t>KIYI</t>
        </is>
      </c>
      <c r="E77" s="13" t="inlineStr">
        <is>
          <t>visual</t>
        </is>
      </c>
      <c r="F77" s="13" t="inlineStr">
        <is>
          <t>DAY</t>
        </is>
      </c>
      <c r="G77" s="13" t="n">
        <v>0</v>
      </c>
      <c r="H77" s="13" t="n">
        <v>40</v>
      </c>
      <c r="I77" s="13" t="n">
        <v>12</v>
      </c>
      <c r="J77" s="13" t="n">
        <v>18</v>
      </c>
      <c r="K77" s="13" t="n">
        <v>27</v>
      </c>
      <c r="L77" s="13" t="inlineStr">
        <is>
          <t>Şamandıralı Top, İpek</t>
        </is>
      </c>
      <c r="M77" s="13" t="inlineStr">
        <is>
          <t>Kurt, Fleto Balık</t>
        </is>
      </c>
      <c r="N77" s="13" t="inlineStr">
        <is>
          <t>EGE+AKDENİZ+MARMARA+KARADENİZ</t>
        </is>
      </c>
    </row>
  </sheetData>
  <autoFilter ref="A1:N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2026-08-05T21:55:48Z</dcterms:created>
  <dcterms:modified xsi:type="dcterms:W3CDTF">2026-08-05T21:55:48Z</dcterms:modified>
</cp:coreProperties>
</file>